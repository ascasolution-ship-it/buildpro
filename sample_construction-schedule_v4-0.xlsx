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d.docs.live.net/fc5c1d9c407ee33c/Documents/ASCAAPPS/Construction managment/"/>
    </mc:Choice>
  </mc:AlternateContent>
  <xr:revisionPtr revIDLastSave="12" documentId="8_{5B797922-2061-4A7C-8105-0965599C58AA}" xr6:coauthVersionLast="47" xr6:coauthVersionMax="47" xr10:uidLastSave="{BC9E43BF-1973-46D0-8F95-CCA0E8E8D9B9}"/>
  <bookViews>
    <workbookView minimized="1" xWindow="1837" yWindow="1837" windowWidth="16201" windowHeight="9308" xr2:uid="{00000000-000D-0000-FFFF-FFFF00000000}"/>
  </bookViews>
  <sheets>
    <sheet name="GanttChart" sheetId="9" r:id="rId1"/>
    <sheet name="Holidays" sheetId="5" r:id="rId2"/>
    <sheet name="Help" sheetId="6" r:id="rId3"/>
    <sheet name="TermsOfUse" sheetId="11" r:id="rId4"/>
  </sheets>
  <definedNames>
    <definedName name="_xlnm._FilterDatabase" localSheetId="0" hidden="1">GanttChart!$A$8:$BW$40</definedName>
    <definedName name="dateformat">Help!$C$68</definedName>
    <definedName name="enddate_highlight">Help!$D$147</definedName>
    <definedName name="enddate_highlight_days">Help!$D$150</definedName>
    <definedName name="holidays">Holidays!$A$8:$A$273</definedName>
    <definedName name="lead_color">Help!$D$181:$D$188</definedName>
    <definedName name="lead_names">Help!$C$181:$C$188</definedName>
    <definedName name="_xlnm.Print_Area" localSheetId="0">GanttChart!$B$1:$BU$40</definedName>
    <definedName name="_xlnm.Print_Titles" localSheetId="0">GanttChart!$5:$8</definedName>
    <definedName name="startday">Help!$E$155</definedName>
    <definedName name="urgency_days">Help!$D$169:$D$171</definedName>
    <definedName name="valuevx">42.314159</definedName>
    <definedName name="weekend">Help!$C$49</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2" i="9" l="1"/>
  <c r="O91" i="9"/>
  <c r="O90" i="9"/>
  <c r="O89" i="9"/>
  <c r="O87" i="9"/>
  <c r="O86" i="9"/>
  <c r="O85" i="9"/>
  <c r="O84" i="9"/>
  <c r="O83" i="9"/>
  <c r="G13" i="9"/>
  <c r="G12" i="9"/>
  <c r="G11" i="9"/>
  <c r="G10" i="9"/>
  <c r="O39" i="9"/>
  <c r="O41" i="9" l="1"/>
  <c r="O43" i="9"/>
  <c r="O42" i="9"/>
  <c r="B9" i="9"/>
  <c r="B10" i="9" l="1"/>
  <c r="B11" i="9" s="1"/>
  <c r="F15" i="9"/>
  <c r="M5" i="9"/>
  <c r="B12" i="9" l="1"/>
  <c r="B13" i="9" l="1"/>
  <c r="O28" i="9"/>
  <c r="M10" i="9"/>
  <c r="O29" i="9" l="1"/>
  <c r="O27" i="9"/>
  <c r="O26" i="9"/>
  <c r="O34" i="9" l="1"/>
  <c r="O22" i="9"/>
  <c r="O21" i="9"/>
  <c r="O20" i="9"/>
  <c r="O32" i="9"/>
  <c r="O35" i="9"/>
  <c r="B14" i="9" l="1"/>
  <c r="O13" i="9"/>
  <c r="O36" i="9"/>
  <c r="B15" i="9" l="1"/>
  <c r="B16" i="9" s="1"/>
  <c r="F18" i="9"/>
  <c r="O12" i="9"/>
  <c r="O31" i="9"/>
  <c r="O15" i="9"/>
  <c r="O30" i="9"/>
  <c r="O24" i="9"/>
  <c r="O16" i="9"/>
  <c r="O11" i="9"/>
  <c r="F16" i="9" l="1"/>
  <c r="N10" i="9" l="1"/>
  <c r="M11" i="9" l="1"/>
  <c r="P10" i="9"/>
  <c r="O10" i="9"/>
  <c r="E155" i="6"/>
  <c r="R4" i="9" s="1"/>
  <c r="N11" i="9" l="1"/>
  <c r="R7" i="9"/>
  <c r="P11" i="9" l="1"/>
  <c r="M12" i="9"/>
  <c r="N12" i="9" s="1"/>
  <c r="B17" i="9"/>
  <c r="F26" i="9" s="1"/>
  <c r="B18" i="9" l="1"/>
  <c r="F19" i="9" s="1"/>
  <c r="P12" i="9"/>
  <c r="M13" i="9"/>
  <c r="N13" i="9" s="1"/>
  <c r="H9" i="9" s="1"/>
  <c r="R8" i="9"/>
  <c r="S4" i="9"/>
  <c r="G9" i="9" l="1"/>
  <c r="B19" i="9"/>
  <c r="F20" i="9" s="1"/>
  <c r="P13" i="9"/>
  <c r="S8" i="9"/>
  <c r="S7" i="9"/>
  <c r="T4" i="9"/>
  <c r="B20" i="9" l="1"/>
  <c r="F21" i="9" s="1"/>
  <c r="T8" i="9"/>
  <c r="T7" i="9"/>
  <c r="U4" i="9"/>
  <c r="B21" i="9" l="1"/>
  <c r="F22" i="9" s="1"/>
  <c r="U8" i="9"/>
  <c r="U7" i="9"/>
  <c r="V4" i="9"/>
  <c r="B22" i="9" l="1"/>
  <c r="B23" i="9" s="1"/>
  <c r="V8" i="9"/>
  <c r="V7" i="9"/>
  <c r="W4" i="9"/>
  <c r="F23" i="9" l="1"/>
  <c r="B24" i="9"/>
  <c r="F24" i="9"/>
  <c r="W8" i="9"/>
  <c r="W7" i="9"/>
  <c r="X4" i="9"/>
  <c r="B25" i="9" l="1"/>
  <c r="F49" i="9" s="1"/>
  <c r="X7" i="9"/>
  <c r="R6" i="9"/>
  <c r="R5" i="9"/>
  <c r="X8" i="9"/>
  <c r="Y4" i="9"/>
  <c r="F45" i="9" l="1"/>
  <c r="F47" i="9"/>
  <c r="F34" i="9"/>
  <c r="B26" i="9"/>
  <c r="M9" i="9"/>
  <c r="Y7" i="9"/>
  <c r="Y8" i="9"/>
  <c r="Z4" i="9"/>
  <c r="B27" i="9" l="1"/>
  <c r="F27" i="9"/>
  <c r="N9" i="9"/>
  <c r="Z8" i="9"/>
  <c r="Z7" i="9"/>
  <c r="AA4" i="9"/>
  <c r="B28" i="9" l="1"/>
  <c r="F28" i="9"/>
  <c r="M15" i="9"/>
  <c r="P9" i="9"/>
  <c r="AA8" i="9"/>
  <c r="AA7" i="9"/>
  <c r="AB4" i="9"/>
  <c r="B29" i="9" l="1"/>
  <c r="F29" i="9"/>
  <c r="N15" i="9"/>
  <c r="AB8" i="9"/>
  <c r="AB7" i="9"/>
  <c r="AC4" i="9"/>
  <c r="B30" i="9" l="1"/>
  <c r="F30" i="9"/>
  <c r="P15" i="9"/>
  <c r="M16" i="9"/>
  <c r="G14" i="9" s="1"/>
  <c r="AC8" i="9"/>
  <c r="AC7" i="9"/>
  <c r="AD4" i="9"/>
  <c r="F31" i="9" l="1"/>
  <c r="B31" i="9"/>
  <c r="N16" i="9"/>
  <c r="H14" i="9" s="1"/>
  <c r="AD8" i="9"/>
  <c r="AD7" i="9"/>
  <c r="AE4" i="9"/>
  <c r="B32" i="9" l="1"/>
  <c r="B33" i="9" s="1"/>
  <c r="F32" i="9"/>
  <c r="P16" i="9"/>
  <c r="AE7" i="9"/>
  <c r="Y6" i="9"/>
  <c r="Y5" i="9"/>
  <c r="AF4" i="9"/>
  <c r="AE8" i="9"/>
  <c r="B34" i="9" l="1"/>
  <c r="F35" i="9" s="1"/>
  <c r="AF7" i="9"/>
  <c r="AF8" i="9"/>
  <c r="AG4" i="9"/>
  <c r="B35" i="9" l="1"/>
  <c r="AG8" i="9"/>
  <c r="AG7" i="9"/>
  <c r="AH4" i="9"/>
  <c r="B36" i="9" l="1"/>
  <c r="F37" i="9" s="1"/>
  <c r="F36" i="9"/>
  <c r="AH8" i="9"/>
  <c r="AH7" i="9"/>
  <c r="AI4" i="9"/>
  <c r="B37" i="9" l="1"/>
  <c r="F38" i="9" s="1"/>
  <c r="AI8" i="9"/>
  <c r="AI7" i="9"/>
  <c r="AJ4" i="9"/>
  <c r="B38" i="9" l="1"/>
  <c r="F39" i="9" s="1"/>
  <c r="AJ8" i="9"/>
  <c r="AJ7" i="9"/>
  <c r="AK4" i="9"/>
  <c r="B39" i="9" l="1"/>
  <c r="F42" i="9" s="1"/>
  <c r="AK8" i="9"/>
  <c r="AK7" i="9"/>
  <c r="AL4" i="9"/>
  <c r="B40" i="9" l="1"/>
  <c r="B41" i="9" s="1"/>
  <c r="F41" i="9"/>
  <c r="AF6" i="9"/>
  <c r="AF5" i="9"/>
  <c r="AL7" i="9"/>
  <c r="AM4" i="9"/>
  <c r="AL8" i="9"/>
  <c r="B42" i="9" l="1"/>
  <c r="B43" i="9" s="1"/>
  <c r="B44" i="9" s="1"/>
  <c r="AN4" i="9"/>
  <c r="AM7" i="9"/>
  <c r="AM8" i="9"/>
  <c r="B45" i="9" l="1"/>
  <c r="B46" i="9" s="1"/>
  <c r="B47" i="9" s="1"/>
  <c r="F51" i="9" s="1"/>
  <c r="F53" i="9"/>
  <c r="F43" i="9"/>
  <c r="AO4" i="9"/>
  <c r="AN8" i="9"/>
  <c r="AN7" i="9"/>
  <c r="F46" i="9" l="1"/>
  <c r="B48" i="9"/>
  <c r="F48" i="9"/>
  <c r="AO8" i="9"/>
  <c r="AO7" i="9"/>
  <c r="AP4" i="9"/>
  <c r="B49" i="9" l="1"/>
  <c r="AQ4" i="9"/>
  <c r="AP7" i="9"/>
  <c r="AP8" i="9"/>
  <c r="B50" i="9" l="1"/>
  <c r="F50" i="9"/>
  <c r="AQ7" i="9"/>
  <c r="AR4" i="9"/>
  <c r="AQ8" i="9"/>
  <c r="B51" i="9" l="1"/>
  <c r="B52" i="9" s="1"/>
  <c r="F89" i="9" s="1"/>
  <c r="AS4" i="9"/>
  <c r="AR7" i="9"/>
  <c r="AR8" i="9"/>
  <c r="AM6" i="9"/>
  <c r="AM5" i="9"/>
  <c r="AS7" i="9" l="1"/>
  <c r="AT4" i="9"/>
  <c r="AS8" i="9"/>
  <c r="B53" i="9" l="1"/>
  <c r="F54" i="9" s="1"/>
  <c r="AU4" i="9"/>
  <c r="AT7" i="9"/>
  <c r="AT8" i="9"/>
  <c r="B54" i="9" l="1"/>
  <c r="AU7" i="9"/>
  <c r="AV4" i="9"/>
  <c r="AU8" i="9"/>
  <c r="B55" i="9" l="1"/>
  <c r="F56" i="9" s="1"/>
  <c r="F55" i="9"/>
  <c r="AW4" i="9"/>
  <c r="AV7" i="9"/>
  <c r="AV8" i="9"/>
  <c r="B56" i="9" l="1"/>
  <c r="F57" i="9" s="1"/>
  <c r="AX4" i="9"/>
  <c r="AW7" i="9"/>
  <c r="AW8" i="9"/>
  <c r="B57" i="9" l="1"/>
  <c r="F58" i="9" s="1"/>
  <c r="AX7" i="9"/>
  <c r="AX8" i="9"/>
  <c r="AY4" i="9"/>
  <c r="B58" i="9" l="1"/>
  <c r="F59" i="9" s="1"/>
  <c r="AZ4" i="9"/>
  <c r="AY7" i="9"/>
  <c r="AY8" i="9"/>
  <c r="AT6" i="9"/>
  <c r="B59" i="9" l="1"/>
  <c r="F60" i="9" s="1"/>
  <c r="AT5" i="9"/>
  <c r="AZ7" i="9"/>
  <c r="AZ8" i="9"/>
  <c r="BA4" i="9"/>
  <c r="B60" i="9" l="1"/>
  <c r="F61" i="9" s="1"/>
  <c r="BB4" i="9"/>
  <c r="BA7" i="9"/>
  <c r="BA8" i="9"/>
  <c r="B61" i="9" l="1"/>
  <c r="F62" i="9" s="1"/>
  <c r="BC4" i="9"/>
  <c r="BB7" i="9"/>
  <c r="BB8" i="9"/>
  <c r="B62" i="9" l="1"/>
  <c r="F63" i="9" s="1"/>
  <c r="BC7" i="9"/>
  <c r="BD4" i="9"/>
  <c r="BC8" i="9"/>
  <c r="B63" i="9" l="1"/>
  <c r="BD7" i="9"/>
  <c r="BE4" i="9"/>
  <c r="BD8" i="9"/>
  <c r="F64" i="9" l="1"/>
  <c r="F66" i="9"/>
  <c r="B64" i="9"/>
  <c r="F65" i="9" s="1"/>
  <c r="BF4" i="9"/>
  <c r="BE7" i="9"/>
  <c r="BE8" i="9"/>
  <c r="B65" i="9" l="1"/>
  <c r="F83" i="9" s="1"/>
  <c r="BG4" i="9"/>
  <c r="BF7" i="9"/>
  <c r="BF8" i="9"/>
  <c r="BA6" i="9"/>
  <c r="BA5" i="9"/>
  <c r="B66" i="9" l="1"/>
  <c r="F67" i="9" s="1"/>
  <c r="BG8" i="9"/>
  <c r="BH4" i="9"/>
  <c r="BG7" i="9"/>
  <c r="B67" i="9" l="1"/>
  <c r="F68" i="9" s="1"/>
  <c r="BH8" i="9"/>
  <c r="BH7" i="9"/>
  <c r="BI4" i="9"/>
  <c r="B68" i="9" l="1"/>
  <c r="F75" i="9" s="1"/>
  <c r="BJ4" i="9"/>
  <c r="BI8" i="9"/>
  <c r="BI7" i="9"/>
  <c r="F69" i="9" l="1"/>
  <c r="F72" i="9"/>
  <c r="B69" i="9"/>
  <c r="F70" i="9" s="1"/>
  <c r="BK4" i="9"/>
  <c r="BJ7" i="9"/>
  <c r="BJ8" i="9"/>
  <c r="B70" i="9" l="1"/>
  <c r="F71" i="9" s="1"/>
  <c r="BL4" i="9"/>
  <c r="BK7" i="9"/>
  <c r="BK8" i="9"/>
  <c r="B71" i="9" l="1"/>
  <c r="BM4" i="9"/>
  <c r="BL7" i="9"/>
  <c r="BL8" i="9"/>
  <c r="B72" i="9" l="1"/>
  <c r="F73" i="9" s="1"/>
  <c r="BN4" i="9"/>
  <c r="BH5" i="9" s="1"/>
  <c r="BM8" i="9"/>
  <c r="BM7" i="9"/>
  <c r="BH6" i="9"/>
  <c r="B73" i="9" l="1"/>
  <c r="F74" i="9" s="1"/>
  <c r="BO4" i="9"/>
  <c r="BN7" i="9"/>
  <c r="BN8" i="9"/>
  <c r="B74" i="9" l="1"/>
  <c r="BP4" i="9"/>
  <c r="BO8" i="9"/>
  <c r="BO7" i="9"/>
  <c r="B75" i="9" l="1"/>
  <c r="F76" i="9" s="1"/>
  <c r="BQ4" i="9"/>
  <c r="BP8" i="9"/>
  <c r="BP7" i="9"/>
  <c r="B76" i="9" l="1"/>
  <c r="BR4" i="9"/>
  <c r="BQ8" i="9"/>
  <c r="BQ7" i="9"/>
  <c r="B77" i="9" l="1"/>
  <c r="F78" i="9" s="1"/>
  <c r="BS4" i="9"/>
  <c r="BR8" i="9"/>
  <c r="BR7" i="9"/>
  <c r="B78" i="9" l="1"/>
  <c r="BT4" i="9"/>
  <c r="BS7" i="9"/>
  <c r="BS8" i="9"/>
  <c r="F79" i="9" l="1"/>
  <c r="F80" i="9"/>
  <c r="B79" i="9"/>
  <c r="BT7" i="9"/>
  <c r="BU4" i="9"/>
  <c r="BV4" i="9" s="1"/>
  <c r="BT8" i="9"/>
  <c r="BO6" i="9"/>
  <c r="BO5" i="9" l="1"/>
  <c r="B80" i="9"/>
  <c r="BU7" i="9"/>
  <c r="BU8" i="9"/>
  <c r="F81" i="9" l="1"/>
  <c r="B81" i="9"/>
  <c r="B82" i="9" s="1"/>
  <c r="B83" i="9" s="1"/>
  <c r="F84" i="9" s="1"/>
  <c r="O23" i="9"/>
  <c r="B84" i="9" l="1"/>
  <c r="M14" i="9"/>
  <c r="B85" i="9" l="1"/>
  <c r="F86" i="9" s="1"/>
  <c r="F85" i="9"/>
  <c r="N14" i="9"/>
  <c r="B86" i="9" l="1"/>
  <c r="O14" i="9"/>
  <c r="M18" i="9"/>
  <c r="P14" i="9"/>
  <c r="B87" i="9" l="1"/>
  <c r="B88" i="9" s="1"/>
  <c r="B89" i="9" s="1"/>
  <c r="F90" i="9" s="1"/>
  <c r="F87" i="9"/>
  <c r="N18" i="9"/>
  <c r="B90" i="9" l="1"/>
  <c r="M19" i="9"/>
  <c r="O18" i="9"/>
  <c r="P18" i="9"/>
  <c r="B91" i="9" l="1"/>
  <c r="F92" i="9" s="1"/>
  <c r="N19" i="9"/>
  <c r="O19" i="9"/>
  <c r="B92" i="9" l="1"/>
  <c r="P19" i="9"/>
  <c r="M20" i="9"/>
  <c r="N20" i="9" l="1"/>
  <c r="M21" i="9" l="1"/>
  <c r="N21" i="9" s="1"/>
  <c r="M22" i="9" s="1"/>
  <c r="N22" i="9" s="1"/>
  <c r="P22" i="9" s="1"/>
  <c r="P20" i="9"/>
  <c r="P21" i="9" l="1"/>
  <c r="M23" i="9"/>
  <c r="N23" i="9" l="1"/>
  <c r="P23" i="9" s="1"/>
  <c r="M24" i="9" l="1"/>
  <c r="G17" i="9" s="1"/>
  <c r="N24" i="9" l="1"/>
  <c r="H17" i="9" s="1"/>
  <c r="P24" i="9" l="1"/>
  <c r="M17" i="9" l="1"/>
  <c r="N17" i="9"/>
  <c r="M26" i="9" s="1"/>
  <c r="O17" i="9" l="1"/>
  <c r="N26" i="9"/>
  <c r="M27" i="9" s="1"/>
  <c r="N27" i="9" s="1"/>
  <c r="M28" i="9" s="1"/>
  <c r="N28" i="9" s="1"/>
  <c r="P28" i="9" s="1"/>
  <c r="P17" i="9"/>
  <c r="P27" i="9" l="1"/>
  <c r="P26" i="9"/>
  <c r="M29" i="9"/>
  <c r="N29" i="9" l="1"/>
  <c r="M30" i="9" l="1"/>
  <c r="N30" i="9" s="1"/>
  <c r="P29" i="9"/>
  <c r="P30" i="9" l="1"/>
  <c r="M31" i="9"/>
  <c r="N31" i="9" l="1"/>
  <c r="M32" i="9" l="1"/>
  <c r="G25" i="9" s="1"/>
  <c r="P31" i="9"/>
  <c r="N32" i="9" l="1"/>
  <c r="H25" i="9" s="1"/>
  <c r="M25" i="9"/>
  <c r="P32" i="9" l="1"/>
  <c r="N25" i="9"/>
  <c r="M34" i="9" l="1"/>
  <c r="O25" i="9"/>
  <c r="P25" i="9"/>
  <c r="N34" i="9" l="1"/>
  <c r="M35" i="9" s="1"/>
  <c r="N35" i="9" s="1"/>
  <c r="P35" i="9" s="1"/>
  <c r="M36" i="9" l="1"/>
  <c r="P34" i="9"/>
  <c r="N36" i="9" l="1"/>
  <c r="M37" i="9" l="1"/>
  <c r="N37" i="9" s="1"/>
  <c r="P36" i="9"/>
  <c r="O37" i="9" l="1"/>
  <c r="M38" i="9"/>
  <c r="P37" i="9"/>
  <c r="N38" i="9" l="1"/>
  <c r="P38" i="9" l="1"/>
  <c r="M39" i="9"/>
  <c r="G33" i="9" s="1"/>
  <c r="M33" i="9" s="1"/>
  <c r="O38" i="9"/>
  <c r="N39" i="9" l="1"/>
  <c r="P39" i="9" l="1"/>
  <c r="H33" i="9"/>
  <c r="N33" i="9" s="1"/>
  <c r="M41" i="9" l="1"/>
  <c r="N41" i="9" s="1"/>
  <c r="M42" i="9" s="1"/>
  <c r="P33" i="9"/>
  <c r="O33" i="9"/>
  <c r="P41" i="9" l="1"/>
  <c r="N42" i="9"/>
  <c r="P42" i="9" l="1"/>
  <c r="M43" i="9"/>
  <c r="G40" i="9" s="1"/>
  <c r="N43" i="9" l="1"/>
  <c r="H40" i="9" s="1"/>
  <c r="P43" i="9" l="1"/>
  <c r="M40" i="9" l="1"/>
  <c r="N40" i="9" l="1"/>
  <c r="P40" i="9" l="1"/>
  <c r="O40" i="9"/>
  <c r="M45" i="9" l="1"/>
  <c r="N45" i="9" s="1"/>
  <c r="M46" i="9" s="1"/>
  <c r="N46" i="9" l="1"/>
  <c r="M47" i="9" s="1"/>
  <c r="N47" i="9" s="1"/>
  <c r="M48" i="9" s="1"/>
  <c r="P45" i="9"/>
  <c r="O45" i="9"/>
  <c r="O46" i="9" l="1"/>
  <c r="O47" i="9"/>
  <c r="P47" i="9"/>
  <c r="P46" i="9"/>
  <c r="N48" i="9"/>
  <c r="O48" i="9" l="1"/>
  <c r="P48" i="9"/>
  <c r="M49" i="9"/>
  <c r="N49" i="9" l="1"/>
  <c r="P49" i="9" s="1"/>
  <c r="O49" i="9" l="1"/>
  <c r="M50" i="9"/>
  <c r="N50" i="9" l="1"/>
  <c r="O50" i="9" s="1"/>
  <c r="P50" i="9" l="1"/>
  <c r="M51" i="9"/>
  <c r="G44" i="9" s="1"/>
  <c r="M44" i="9" s="1"/>
  <c r="N51" i="9" l="1"/>
  <c r="O51" i="9" l="1"/>
  <c r="H44" i="9"/>
  <c r="N44" i="9" s="1"/>
  <c r="P51" i="9"/>
  <c r="O44" i="9" l="1"/>
  <c r="P44" i="9"/>
  <c r="M53" i="9" l="1"/>
  <c r="N53" i="9" l="1"/>
  <c r="M54" i="9" l="1"/>
  <c r="P53" i="9"/>
  <c r="O53" i="9"/>
  <c r="N54" i="9" l="1"/>
  <c r="M55" i="9" l="1"/>
  <c r="O54" i="9"/>
  <c r="P54" i="9"/>
  <c r="N55" i="9" l="1"/>
  <c r="M56" i="9" l="1"/>
  <c r="P55" i="9"/>
  <c r="O55" i="9"/>
  <c r="N56" i="9" l="1"/>
  <c r="O56" i="9" s="1"/>
  <c r="P56" i="9" l="1"/>
  <c r="M57" i="9"/>
  <c r="N57" i="9" l="1"/>
  <c r="O57" i="9" s="1"/>
  <c r="P57" i="9" l="1"/>
  <c r="M58" i="9"/>
  <c r="N58" i="9" l="1"/>
  <c r="M59" i="9" s="1"/>
  <c r="N59" i="9" l="1"/>
  <c r="M60" i="9" s="1"/>
  <c r="P58" i="9"/>
  <c r="O58" i="9"/>
  <c r="O59" i="9" l="1"/>
  <c r="P59" i="9"/>
  <c r="N60" i="9"/>
  <c r="M61" i="9" s="1"/>
  <c r="P60" i="9" l="1"/>
  <c r="O60" i="9"/>
  <c r="N61" i="9"/>
  <c r="M62" i="9" s="1"/>
  <c r="O61" i="9" l="1"/>
  <c r="N62" i="9"/>
  <c r="M63" i="9" s="1"/>
  <c r="O62" i="9"/>
  <c r="P61" i="9"/>
  <c r="P62" i="9" l="1"/>
  <c r="N63" i="9"/>
  <c r="O63" i="9" s="1"/>
  <c r="P63" i="9" l="1"/>
  <c r="M64" i="9"/>
  <c r="N64" i="9" l="1"/>
  <c r="M65" i="9" s="1"/>
  <c r="P64" i="9" l="1"/>
  <c r="O64" i="9"/>
  <c r="N65" i="9"/>
  <c r="M66" i="9" l="1"/>
  <c r="N66" i="9" s="1"/>
  <c r="M67" i="9" s="1"/>
  <c r="M83" i="9"/>
  <c r="N83" i="9" s="1"/>
  <c r="O65" i="9"/>
  <c r="O66" i="9"/>
  <c r="P65" i="9"/>
  <c r="P83" i="9" l="1"/>
  <c r="M84" i="9"/>
  <c r="N84" i="9" s="1"/>
  <c r="P66" i="9"/>
  <c r="N67" i="9"/>
  <c r="O67" i="9" s="1"/>
  <c r="M85" i="9" l="1"/>
  <c r="N85" i="9" s="1"/>
  <c r="P84" i="9"/>
  <c r="P67" i="9"/>
  <c r="M68" i="9"/>
  <c r="P85" i="9" l="1"/>
  <c r="M86" i="9"/>
  <c r="N86" i="9" s="1"/>
  <c r="N68" i="9"/>
  <c r="M69" i="9" s="1"/>
  <c r="P86" i="9" l="1"/>
  <c r="M87" i="9"/>
  <c r="G82" i="9" s="1"/>
  <c r="M82" i="9" s="1"/>
  <c r="P68" i="9"/>
  <c r="O68" i="9"/>
  <c r="N69" i="9"/>
  <c r="M70" i="9" s="1"/>
  <c r="N87" i="9" l="1"/>
  <c r="H82" i="9" s="1"/>
  <c r="N82" i="9" s="1"/>
  <c r="P69" i="9"/>
  <c r="O69" i="9"/>
  <c r="N70" i="9"/>
  <c r="M71" i="9" s="1"/>
  <c r="O70" i="9"/>
  <c r="O82" i="9" l="1"/>
  <c r="P87" i="9"/>
  <c r="P82" i="9"/>
  <c r="P70" i="9"/>
  <c r="N71" i="9"/>
  <c r="M72" i="9" l="1"/>
  <c r="N72" i="9" s="1"/>
  <c r="O71" i="9"/>
  <c r="P71" i="9"/>
  <c r="M73" i="9" l="1"/>
  <c r="N73" i="9" s="1"/>
  <c r="P73" i="9" s="1"/>
  <c r="O72" i="9"/>
  <c r="P72" i="9"/>
  <c r="O73" i="9" l="1"/>
  <c r="M74" i="9"/>
  <c r="N74" i="9" s="1"/>
  <c r="P74" i="9" s="1"/>
  <c r="M75" i="9"/>
  <c r="O74" i="9" l="1"/>
  <c r="N75" i="9"/>
  <c r="O75" i="9" s="1"/>
  <c r="P75" i="9" l="1"/>
  <c r="M76" i="9"/>
  <c r="N76" i="9" l="1"/>
  <c r="P76" i="9" l="1"/>
  <c r="G77" i="9"/>
  <c r="M77" i="9" s="1"/>
  <c r="O76" i="9"/>
  <c r="N77" i="9" l="1"/>
  <c r="O77" i="9" s="1"/>
  <c r="P77" i="9" l="1"/>
  <c r="M78" i="9"/>
  <c r="N78" i="9" l="1"/>
  <c r="O78" i="9" s="1"/>
  <c r="P78" i="9" l="1"/>
  <c r="M79" i="9"/>
  <c r="N79" i="9" l="1"/>
  <c r="O79" i="9" s="1"/>
  <c r="P79" i="9" l="1"/>
  <c r="M80" i="9"/>
  <c r="N80" i="9" s="1"/>
  <c r="P80" i="9" s="1"/>
  <c r="O80" i="9" l="1"/>
  <c r="M81" i="9"/>
  <c r="N81" i="9" l="1"/>
  <c r="P81" i="9" s="1"/>
  <c r="G52" i="9"/>
  <c r="M52" i="9" s="1"/>
  <c r="O81" i="9" l="1"/>
  <c r="H52" i="9"/>
  <c r="N52" i="9" s="1"/>
  <c r="P52" i="9" l="1"/>
  <c r="M89" i="9"/>
  <c r="O52" i="9"/>
  <c r="N89" i="9" l="1"/>
  <c r="P89" i="9" s="1"/>
  <c r="M90" i="9" l="1"/>
  <c r="N90" i="9" l="1"/>
  <c r="P90" i="9" l="1"/>
  <c r="G91" i="9"/>
  <c r="M91" i="9" s="1"/>
  <c r="N91" i="9" l="1"/>
  <c r="P91" i="9" s="1"/>
  <c r="M92" i="9" l="1"/>
  <c r="N92" i="9" l="1"/>
  <c r="G88" i="9"/>
  <c r="M88" i="9" s="1"/>
  <c r="H88" i="9" l="1"/>
  <c r="N88" i="9" s="1"/>
  <c r="C5" i="9" s="1"/>
  <c r="P92" i="9"/>
  <c r="O88" i="9" l="1"/>
  <c r="P8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Jon</author>
  </authors>
  <commentList>
    <comment ref="M4" authorId="0" shapeId="0" xr:uid="{00000000-0006-0000-0000-000001000000}">
      <text>
        <r>
          <rPr>
            <b/>
            <sz val="8"/>
            <color indexed="81"/>
            <rFont val="Tahoma"/>
            <family val="2"/>
          </rPr>
          <t>Daily / Weekly / Monthly</t>
        </r>
        <r>
          <rPr>
            <sz val="8"/>
            <color indexed="81"/>
            <rFont val="Tahoma"/>
            <family val="2"/>
          </rPr>
          <t>:
Use this to change the gantt chart view to Weekly or Monthly if you want to see a larger range of dates. Note that the weekly and monthly views result in a loss of detail.</t>
        </r>
      </text>
    </comment>
    <comment ref="M5" authorId="0" shapeId="0" xr:uid="{00000000-0006-0000-0000-000002000000}">
      <text>
        <r>
          <rPr>
            <b/>
            <sz val="8"/>
            <color indexed="81"/>
            <rFont val="Tahoma"/>
            <family val="2"/>
          </rPr>
          <t>Display Week / Display Month</t>
        </r>
        <r>
          <rPr>
            <sz val="8"/>
            <color indexed="81"/>
            <rFont val="Tahoma"/>
            <family val="2"/>
          </rPr>
          <t>:
Use this to change the starting week or month shown in the gantt chart.</t>
        </r>
      </text>
    </comment>
    <comment ref="A7" authorId="0" shapeId="0" xr:uid="{00000000-0006-0000-0000-000003000000}">
      <text>
        <r>
          <rPr>
            <b/>
            <sz val="8"/>
            <color indexed="81"/>
            <rFont val="Tahoma"/>
            <family val="2"/>
          </rPr>
          <t>WBS Level:</t>
        </r>
        <r>
          <rPr>
            <sz val="8"/>
            <color indexed="81"/>
            <rFont val="Tahoma"/>
            <family val="2"/>
          </rPr>
          <t xml:space="preserve">
Choose the WBS (Work Breakdown Structure) level from the drop-down in this column.</t>
        </r>
      </text>
    </comment>
    <comment ref="B7" authorId="1" shapeId="0" xr:uid="{00000000-0006-0000-0000-000004000000}">
      <text>
        <r>
          <rPr>
            <b/>
            <sz val="8"/>
            <color indexed="81"/>
            <rFont val="Tahoma"/>
            <family val="2"/>
          </rPr>
          <t>Work Breakdown Structure</t>
        </r>
        <r>
          <rPr>
            <sz val="8"/>
            <color indexed="81"/>
            <rFont val="Tahoma"/>
            <family val="2"/>
          </rPr>
          <t xml:space="preserve">
Level 1: 1, 2, 3, ...
Level 2: 1.1, 1.2, 1.3, ...
Level 3: 1.1.1, 1.1.2, 1.1.3, …
The WBS uses a formula to automatically update the numbering.</t>
        </r>
      </text>
    </comment>
    <comment ref="C7" authorId="0" shapeId="0" xr:uid="{00000000-0006-0000-0000-000005000000}">
      <text>
        <r>
          <rPr>
            <b/>
            <sz val="8"/>
            <color indexed="81"/>
            <rFont val="Tahoma"/>
            <family val="2"/>
          </rPr>
          <t>Task Description</t>
        </r>
        <r>
          <rPr>
            <sz val="8"/>
            <color indexed="81"/>
            <rFont val="Tahoma"/>
            <family val="2"/>
          </rPr>
          <t xml:space="preserve">
Enter the name of each task and sub-task. The task description is automatically indented using conditional formatting based on the WBS Level column.</t>
        </r>
      </text>
    </comment>
    <comment ref="D7" authorId="0" shapeId="0" xr:uid="{00000000-0006-0000-0000-000006000000}">
      <text>
        <r>
          <rPr>
            <b/>
            <sz val="8"/>
            <color indexed="81"/>
            <rFont val="Tahoma"/>
            <family val="2"/>
          </rPr>
          <t>Task Lead</t>
        </r>
        <r>
          <rPr>
            <sz val="8"/>
            <color indexed="81"/>
            <rFont val="Tahoma"/>
            <family val="2"/>
          </rPr>
          <t xml:space="preserve">
Enter the name of the Task Lead in this column.</t>
        </r>
      </text>
    </comment>
    <comment ref="F7" authorId="0" shapeId="0" xr:uid="{00000000-0006-0000-0000-000007000000}">
      <text>
        <r>
          <rPr>
            <b/>
            <sz val="8"/>
            <color indexed="81"/>
            <rFont val="Tahoma"/>
            <family val="2"/>
          </rPr>
          <t xml:space="preserve">Predecessor Tasks:
</t>
        </r>
        <r>
          <rPr>
            <sz val="8"/>
            <color indexed="81"/>
            <rFont val="Tahoma"/>
            <family val="2"/>
          </rPr>
          <t xml:space="preserve">You may use this column to calculate the start date for the task based on the end date of the Predecessor you reference. Use a formula like </t>
        </r>
        <r>
          <rPr>
            <b/>
            <sz val="8"/>
            <color indexed="81"/>
            <rFont val="Tahoma"/>
            <family val="2"/>
          </rPr>
          <t>=A13</t>
        </r>
        <r>
          <rPr>
            <sz val="8"/>
            <color indexed="81"/>
            <rFont val="Tahoma"/>
            <family val="2"/>
          </rPr>
          <t xml:space="preserve"> to reference the WBS of the Predecessor task that must be completed before this task can start. You can also enter the WBS as a </t>
        </r>
        <r>
          <rPr>
            <b/>
            <sz val="8"/>
            <color indexed="81"/>
            <rFont val="Tahoma"/>
            <family val="2"/>
          </rPr>
          <t>text value</t>
        </r>
        <r>
          <rPr>
            <sz val="8"/>
            <color indexed="81"/>
            <rFont val="Tahoma"/>
            <family val="2"/>
          </rPr>
          <t xml:space="preserve"> by entering an </t>
        </r>
        <r>
          <rPr>
            <b/>
            <sz val="8"/>
            <color indexed="81"/>
            <rFont val="Tahoma"/>
            <family val="2"/>
          </rPr>
          <t>apostrophe</t>
        </r>
        <r>
          <rPr>
            <sz val="8"/>
            <color indexed="81"/>
            <rFont val="Tahoma"/>
            <family val="2"/>
          </rPr>
          <t xml:space="preserve"> before the number </t>
        </r>
        <r>
          <rPr>
            <b/>
            <sz val="8"/>
            <color indexed="81"/>
            <rFont val="Tahoma"/>
            <family val="2"/>
          </rPr>
          <t>like '2.3</t>
        </r>
        <r>
          <rPr>
            <sz val="8"/>
            <color indexed="81"/>
            <rFont val="Tahoma"/>
            <family val="2"/>
          </rPr>
          <t>. Avoid circular references, such as choosing the current task as its own Predecessor. Using this column assumes that you want the task to start on the next work day.
See the Help worksheet for more examples of using formulas to create task dependencies.</t>
        </r>
      </text>
    </comment>
    <comment ref="G7" authorId="0" shapeId="0" xr:uid="{00000000-0006-0000-0000-000008000000}">
      <text>
        <r>
          <rPr>
            <b/>
            <sz val="8"/>
            <color indexed="81"/>
            <rFont val="Tahoma"/>
            <family val="2"/>
          </rPr>
          <t>Start Date</t>
        </r>
        <r>
          <rPr>
            <sz val="8"/>
            <color indexed="81"/>
            <rFont val="Tahoma"/>
            <family val="2"/>
          </rPr>
          <t xml:space="preserve">
You can manually enter the Start date for each task, use the Predecessor column to have a Start date calculated automatically, or use a formula to create a dependency on some other cell. See the Help worksheet for examples of creating dependencies.</t>
        </r>
      </text>
    </comment>
    <comment ref="H7" authorId="0" shapeId="0" xr:uid="{00000000-0006-0000-0000-000009000000}">
      <text>
        <r>
          <rPr>
            <b/>
            <sz val="8"/>
            <color indexed="81"/>
            <rFont val="Tahoma"/>
            <family val="2"/>
          </rPr>
          <t>End Date</t>
        </r>
        <r>
          <rPr>
            <sz val="8"/>
            <color indexed="81"/>
            <rFont val="Tahoma"/>
            <family val="2"/>
          </rPr>
          <t xml:space="preserve">
If you want to define the End date instead of calculating what it should be, enter the date in this column. Otherwise, enter a value in the Work Days or Calendar Days column to define the duration of the task.</t>
        </r>
      </text>
    </comment>
    <comment ref="I7" authorId="0" shapeId="0" xr:uid="{00000000-0006-0000-0000-00000A000000}">
      <text>
        <r>
          <rPr>
            <b/>
            <sz val="8"/>
            <color indexed="81"/>
            <rFont val="Tahoma"/>
            <family val="2"/>
          </rPr>
          <t>Work Days</t>
        </r>
        <r>
          <rPr>
            <sz val="8"/>
            <color indexed="81"/>
            <rFont val="Tahoma"/>
            <family val="2"/>
          </rPr>
          <t xml:space="preserve">
Enter the number of Work Days that you estimate this task will require to complete. Work Days exclude the weekend (defined in the Help worksheet) and the holidays listed in the Holidays worksheet.</t>
        </r>
      </text>
    </comment>
    <comment ref="J7" authorId="0" shapeId="0" xr:uid="{00000000-0006-0000-0000-00000B000000}">
      <text>
        <r>
          <rPr>
            <b/>
            <sz val="8"/>
            <color indexed="81"/>
            <rFont val="Tahoma"/>
            <family val="2"/>
          </rPr>
          <t>Duration: Calendar Days</t>
        </r>
        <r>
          <rPr>
            <sz val="8"/>
            <color indexed="81"/>
            <rFont val="Tahoma"/>
            <family val="2"/>
          </rPr>
          <t xml:space="preserve">
If you want to enter the number of calendar days instead of the number of work days, enter a value in this column.</t>
        </r>
      </text>
    </comment>
    <comment ref="K7" authorId="0" shapeId="0" xr:uid="{00000000-0006-0000-0000-00000C000000}">
      <text>
        <r>
          <rPr>
            <b/>
            <sz val="8"/>
            <color indexed="81"/>
            <rFont val="Tahoma"/>
            <family val="2"/>
          </rPr>
          <t>Percent Complete</t>
        </r>
        <r>
          <rPr>
            <sz val="8"/>
            <color indexed="81"/>
            <rFont val="Tahoma"/>
            <family val="2"/>
          </rPr>
          <t xml:space="preserve">
Update the status of this task by entering the percent complete (between 0% and 100%).</t>
        </r>
      </text>
    </comment>
    <comment ref="L7" authorId="0" shapeId="0" xr:uid="{00000000-0006-0000-0000-00000D000000}">
      <text>
        <r>
          <rPr>
            <b/>
            <sz val="8"/>
            <color indexed="81"/>
            <rFont val="Tahoma"/>
            <family val="2"/>
          </rPr>
          <t>Color (optional):</t>
        </r>
        <r>
          <rPr>
            <sz val="8"/>
            <color indexed="81"/>
            <rFont val="Tahoma"/>
            <family val="2"/>
          </rPr>
          <t xml:space="preserve">
The following letters can be used to change the color the incomplete portion of the bar.
b = blue
k = black
x = gray
o = orange
y = yellow
p = purple
r = red
g = green
</t>
        </r>
      </text>
    </comment>
    <comment ref="P7" authorId="0" shapeId="0" xr:uid="{00000000-0006-0000-0000-00000E000000}">
      <text>
        <r>
          <rPr>
            <b/>
            <sz val="8"/>
            <color indexed="81"/>
            <rFont val="Tahoma"/>
            <family val="2"/>
          </rPr>
          <t>Duration: Calendar Days</t>
        </r>
        <r>
          <rPr>
            <sz val="8"/>
            <color indexed="81"/>
            <rFont val="Tahoma"/>
            <family val="2"/>
          </rPr>
          <t xml:space="preserve">
The duration in calendar days is calculated as the </t>
        </r>
        <r>
          <rPr>
            <b/>
            <sz val="8"/>
            <color indexed="81"/>
            <rFont val="Tahoma"/>
            <family val="2"/>
          </rPr>
          <t>End</t>
        </r>
        <r>
          <rPr>
            <sz val="8"/>
            <color indexed="81"/>
            <rFont val="Tahoma"/>
            <family val="2"/>
          </rPr>
          <t xml:space="preserve"> date minus the </t>
        </r>
        <r>
          <rPr>
            <b/>
            <sz val="8"/>
            <color indexed="81"/>
            <rFont val="Tahoma"/>
            <family val="2"/>
          </rPr>
          <t>Start</t>
        </r>
        <r>
          <rPr>
            <sz val="8"/>
            <color indexed="81"/>
            <rFont val="Tahoma"/>
            <family val="2"/>
          </rPr>
          <t xml:space="preserve"> date plus 1 day, so that a task starting and ending on the same day has a duration of 1 day.
</t>
        </r>
        <r>
          <rPr>
            <b/>
            <sz val="8"/>
            <color indexed="81"/>
            <rFont val="Tahoma"/>
            <family val="2"/>
          </rPr>
          <t>Note:</t>
        </r>
        <r>
          <rPr>
            <sz val="8"/>
            <color indexed="81"/>
            <rFont val="Tahoma"/>
            <family val="2"/>
          </rPr>
          <t xml:space="preserve"> The conditional formatting used to create the gantt chart references this column. You can HIDE this column, but do not delete 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C37" authorId="0" shapeId="0" xr:uid="{00000000-0006-0000-0200-000001000000}">
      <text>
        <r>
          <rPr>
            <sz val="8"/>
            <color indexed="81"/>
            <rFont val="Tahoma"/>
            <family val="2"/>
          </rPr>
          <t>This is an example comment.</t>
        </r>
      </text>
    </comment>
  </commentList>
</comments>
</file>

<file path=xl/sharedStrings.xml><?xml version="1.0" encoding="utf-8"?>
<sst xmlns="http://schemas.openxmlformats.org/spreadsheetml/2006/main" count="700" uniqueCount="343">
  <si>
    <t>WBS</t>
  </si>
  <si>
    <t>Start</t>
  </si>
  <si>
    <t>End</t>
  </si>
  <si>
    <t>Date</t>
  </si>
  <si>
    <t>New Year's Day</t>
  </si>
  <si>
    <t>Christmas</t>
  </si>
  <si>
    <t>Work Days</t>
  </si>
  <si>
    <t>Lead</t>
  </si>
  <si>
    <t>Input Cell</t>
  </si>
  <si>
    <t>Holidays to Exclude from Work Days</t>
  </si>
  <si>
    <t>Task</t>
  </si>
  <si>
    <t>Veterans Day</t>
  </si>
  <si>
    <t>Independence Day</t>
  </si>
  <si>
    <t>Thanksgiving</t>
  </si>
  <si>
    <t>Labor Day</t>
  </si>
  <si>
    <t>M.L.King Jr. Day</t>
  </si>
  <si>
    <t>Presidents Day</t>
  </si>
  <si>
    <t>Memorial Day</t>
  </si>
  <si>
    <t>Columbus Day</t>
  </si>
  <si>
    <t>Intro</t>
  </si>
  <si>
    <t>If this page does not answer your questions, visit the following page:</t>
  </si>
  <si>
    <t>Support</t>
  </si>
  <si>
    <t>Label</t>
  </si>
  <si>
    <t>Getting Started Tips</t>
  </si>
  <si>
    <t>FAQs</t>
  </si>
  <si>
    <t>Q:</t>
  </si>
  <si>
    <t>Select the entire range of cells you want to print and go to File &gt; Print Area &gt; Set Print Area.</t>
  </si>
  <si>
    <t>Page Orientation as desired.</t>
  </si>
  <si>
    <t>k</t>
  </si>
  <si>
    <t>%
Done</t>
  </si>
  <si>
    <t>Prede
cessor</t>
  </si>
  <si>
    <t>0000011</t>
  </si>
  <si>
    <t>weekend</t>
  </si>
  <si>
    <t xml:space="preserve">Choose an option or enter a weekend string →  </t>
  </si>
  <si>
    <t>Option</t>
  </si>
  <si>
    <t>Non-Work Days</t>
  </si>
  <si>
    <t>Saturday, Sunday</t>
  </si>
  <si>
    <t>Sunday, Monday</t>
  </si>
  <si>
    <t>To use these functions, choose an option from the drop-down box on the right.</t>
  </si>
  <si>
    <t>Monday, Tuesday</t>
  </si>
  <si>
    <t>Tuesday, Wednesday</t>
  </si>
  <si>
    <t>If one of the options to the right does not work for you, you can enter a string of</t>
  </si>
  <si>
    <t>Wednesday, Thursday</t>
  </si>
  <si>
    <t>7 characters, using a "1" to represent a non-workday and a "0" to represent</t>
  </si>
  <si>
    <t>Thursday, Friday</t>
  </si>
  <si>
    <t>a work day, beginning with Monday.</t>
  </si>
  <si>
    <t>Friday, Saturday</t>
  </si>
  <si>
    <t>Sunday Only</t>
  </si>
  <si>
    <t>Monday Only</t>
  </si>
  <si>
    <t>Tuesday Only</t>
  </si>
  <si>
    <t>Wednesday Only</t>
  </si>
  <si>
    <t>Thursday Only</t>
  </si>
  <si>
    <t>Friday Only</t>
  </si>
  <si>
    <t>Saturday Only</t>
  </si>
  <si>
    <t xml:space="preserve">If you add more rows to the bottom of the list, you may need to </t>
  </si>
  <si>
    <t>edit the named range "holidays" via Formulas &gt; Named Ranges.</t>
  </si>
  <si>
    <t>Description</t>
  </si>
  <si>
    <t>o</t>
  </si>
  <si>
    <t>b</t>
  </si>
  <si>
    <t>p</t>
  </si>
  <si>
    <t>r</t>
  </si>
  <si>
    <t>g</t>
  </si>
  <si>
    <t>to include the new rows. The Description column is just for reference.</t>
  </si>
  <si>
    <r>
      <t xml:space="preserve">For example, the string </t>
    </r>
    <r>
      <rPr>
        <b/>
        <sz val="10"/>
        <rFont val="Arial"/>
        <family val="2"/>
      </rPr>
      <t>0000011</t>
    </r>
    <r>
      <rPr>
        <sz val="10"/>
        <rFont val="Arial"/>
        <family val="2"/>
      </rPr>
      <t xml:space="preserve"> would result in a Saturday-Sunday weekend.</t>
    </r>
  </si>
  <si>
    <t>By Vertex42.com</t>
  </si>
  <si>
    <t>This spreadsheet, including all worksheets and associated content is a copyrighted work under the United States and other copyright laws.</t>
  </si>
  <si>
    <t>Do not submit copies or modifications of this template to any website or online template gallery.</t>
  </si>
  <si>
    <t>Please review the following license agreement to learn how you may or may not use this template. Thank you.</t>
  </si>
  <si>
    <t>See License Agreement</t>
  </si>
  <si>
    <r>
      <rPr>
        <b/>
        <sz val="12"/>
        <color theme="1"/>
        <rFont val="Arial"/>
        <family val="2"/>
      </rPr>
      <t>Do not delete this worksheet.</t>
    </r>
    <r>
      <rPr>
        <sz val="12"/>
        <rFont val="Arial"/>
        <family val="2"/>
      </rPr>
      <t xml:space="preserve"> If necessary, you may hide it by right-clicking on the tab and selecting Hide.</t>
    </r>
  </si>
  <si>
    <t>The WORKDAYS.INTL() and NETWORKDAYS.INTL() functions allow you to specify</t>
  </si>
  <si>
    <t>which day(s) of the week should be used as the weekend or non-working days.</t>
  </si>
  <si>
    <t>Watch the Demo Videos on Vertex42.com</t>
  </si>
  <si>
    <t>The %Complete for a category task can be calculated from its sub tasks using the formula below, where "workdays" is a reference to the range of work day values and "complete" is a reference to the %complete for each of the subtasks.</t>
  </si>
  <si>
    <t>=SUMPRODUCT(workdays,complete)/SUM(workdays)</t>
  </si>
  <si>
    <t>How do I calculate the %Complete for an entire category of tasks?</t>
  </si>
  <si>
    <t>Let's say you have 3 sub tasks that are 10 days, 12 days, and 14 days long, respectively. If the first subtask is 50% complete and the others are 25% complete, you could calculate the overall percent complete for the group as: =(10*50%+12*25%+14*25%)/(10+12+14).</t>
  </si>
  <si>
    <t>I've messed up the chart area somehow. How do I fix it?</t>
  </si>
  <si>
    <t>Find a row that works, then copy the cells that make up the gantt chart area from that row into the row that is messed up.</t>
  </si>
  <si>
    <t>Color</t>
  </si>
  <si>
    <t>Cal. Days</t>
  </si>
  <si>
    <t>Color Column:</t>
  </si>
  <si>
    <t>The cells that make up the chart area use conditional formatting to control the color of the bars. The default color is blue. You can make the bars different colors by entering one of the following letters in the color column:</t>
  </si>
  <si>
    <t>x</t>
  </si>
  <si>
    <t>Urgency (Days)</t>
  </si>
  <si>
    <t>red</t>
  </si>
  <si>
    <t>orange</t>
  </si>
  <si>
    <t>yellow</t>
  </si>
  <si>
    <t>You can enter a formula in the Color column to change the color to orange based on a</t>
  </si>
  <si>
    <t>The example below makes the 10-day warning orange and a 2-day warning red.</t>
  </si>
  <si>
    <t>y</t>
  </si>
  <si>
    <t>comparison of the End date and Today's date. For example, the following formula would give</t>
  </si>
  <si>
    <t>Colors: b=blue, k=black, g=green, p=purple, o=orange, r=red, x=gray, y=yellow</t>
  </si>
  <si>
    <t>Advanced Uses of the Color Column</t>
  </si>
  <si>
    <r>
      <t xml:space="preserve">  =IF(</t>
    </r>
    <r>
      <rPr>
        <i/>
        <sz val="10"/>
        <rFont val="Arial"/>
        <family val="2"/>
      </rPr>
      <t>end_date</t>
    </r>
    <r>
      <rPr>
        <sz val="10"/>
        <rFont val="Arial"/>
        <family val="2"/>
      </rPr>
      <t>&lt;TODAY()+INDEX(urgency_days,1),"r", IF(</t>
    </r>
    <r>
      <rPr>
        <i/>
        <sz val="10"/>
        <rFont val="Arial"/>
        <family val="2"/>
      </rPr>
      <t>end_date</t>
    </r>
    <r>
      <rPr>
        <sz val="10"/>
        <rFont val="Arial"/>
        <family val="2"/>
      </rPr>
      <t>&lt;TODAY()+  INDEX(urgency_days,2),"o",IF(</t>
    </r>
    <r>
      <rPr>
        <i/>
        <sz val="10"/>
        <rFont val="Arial"/>
        <family val="2"/>
      </rPr>
      <t>end_date</t>
    </r>
    <r>
      <rPr>
        <sz val="10"/>
        <rFont val="Arial"/>
        <family val="2"/>
      </rPr>
      <t>&lt;TODAY()+ INDEX(urgency_days,3),"y","")))</t>
    </r>
  </si>
  <si>
    <r>
      <t xml:space="preserve">  =IF(</t>
    </r>
    <r>
      <rPr>
        <i/>
        <sz val="10"/>
        <rFont val="Arial"/>
        <family val="2"/>
      </rPr>
      <t>end_date</t>
    </r>
    <r>
      <rPr>
        <sz val="10"/>
        <rFont val="Arial"/>
        <family val="2"/>
      </rPr>
      <t>&lt;TODAY()+2,"r",IF(</t>
    </r>
    <r>
      <rPr>
        <i/>
        <sz val="10"/>
        <rFont val="Arial"/>
        <family val="2"/>
      </rPr>
      <t>end_date</t>
    </r>
    <r>
      <rPr>
        <sz val="10"/>
        <rFont val="Arial"/>
        <family val="2"/>
      </rPr>
      <t>&lt;TODAY()+10,"o",""))</t>
    </r>
  </si>
  <si>
    <r>
      <t xml:space="preserve">  =IF(</t>
    </r>
    <r>
      <rPr>
        <i/>
        <sz val="10"/>
        <rFont val="Arial"/>
        <family val="2"/>
      </rPr>
      <t>end_date</t>
    </r>
    <r>
      <rPr>
        <sz val="10"/>
        <rFont val="Arial"/>
        <family val="2"/>
      </rPr>
      <t>&lt;TODAY()+10,"o","")</t>
    </r>
  </si>
  <si>
    <r>
      <t xml:space="preserve">you a 10-day warning, where </t>
    </r>
    <r>
      <rPr>
        <i/>
        <sz val="10"/>
        <rFont val="Arial"/>
        <family val="2"/>
      </rPr>
      <t>end_date</t>
    </r>
    <r>
      <rPr>
        <sz val="10"/>
        <rFont val="Arial"/>
        <family val="2"/>
      </rPr>
      <t xml:space="preserve"> is a reference to the End date cell.</t>
    </r>
  </si>
  <si>
    <t>The fancy formula below makes use of the table of urgency values to the right. Note that "urgency_days" is a named range referring to the table on the right.</t>
  </si>
  <si>
    <t>Using a reference to the %Done column, you can change the color of the bar to gray using the following formula in the color column. Note that "x" and "b" are the colors for gray and blue.</t>
  </si>
  <si>
    <r>
      <t xml:space="preserve">  =IF(</t>
    </r>
    <r>
      <rPr>
        <i/>
        <sz val="10"/>
        <rFont val="Arial"/>
        <family val="2"/>
      </rPr>
      <t>percent_done</t>
    </r>
    <r>
      <rPr>
        <sz val="10"/>
        <rFont val="Arial"/>
        <family val="2"/>
      </rPr>
      <t>&gt;=100%,"x","b")</t>
    </r>
  </si>
  <si>
    <t xml:space="preserve">One popular reason for color-coding is to help identify ownership of a task. To do this, </t>
  </si>
  <si>
    <t>Names</t>
  </si>
  <si>
    <t>Bob</t>
  </si>
  <si>
    <t>Sarah</t>
  </si>
  <si>
    <t>Bill</t>
  </si>
  <si>
    <t>Jim</t>
  </si>
  <si>
    <t>If you want to use the table listed to the right of this help section, you can edit the following</t>
  </si>
  <si>
    <r>
      <t>you could create your own nested IF formula: =IF(</t>
    </r>
    <r>
      <rPr>
        <i/>
        <sz val="10"/>
        <rFont val="Arial"/>
        <family val="2"/>
      </rPr>
      <t>ref</t>
    </r>
    <r>
      <rPr>
        <sz val="10"/>
        <rFont val="Arial"/>
        <family val="2"/>
      </rPr>
      <t>="Bob","o",If(</t>
    </r>
    <r>
      <rPr>
        <i/>
        <sz val="10"/>
        <rFont val="Arial"/>
        <family val="2"/>
      </rPr>
      <t>ref</t>
    </r>
    <r>
      <rPr>
        <sz val="10"/>
        <rFont val="Arial"/>
        <family val="2"/>
      </rPr>
      <t>="Sally","p",""))</t>
    </r>
  </si>
  <si>
    <t>where "ref" is the reference to the cell in the Lead column.</t>
  </si>
  <si>
    <r>
      <t xml:space="preserve"> =IFERROR( INDEX( lead_color, MATCH( </t>
    </r>
    <r>
      <rPr>
        <i/>
        <sz val="10"/>
        <rFont val="Arial"/>
        <family val="2"/>
      </rPr>
      <t>ref</t>
    </r>
    <r>
      <rPr>
        <sz val="10"/>
        <rFont val="Arial"/>
        <family val="2"/>
      </rPr>
      <t>, lead_names, 0) ), "")</t>
    </r>
  </si>
  <si>
    <r>
      <t xml:space="preserve">Conditional formatting can be used to do some very useful things. One feature built into this spreadsheet is the option to change the font color of the End date to </t>
    </r>
    <r>
      <rPr>
        <sz val="10"/>
        <color rgb="FFC00000"/>
        <rFont val="Arial"/>
        <family val="2"/>
      </rPr>
      <t>red</t>
    </r>
    <r>
      <rPr>
        <sz val="10"/>
        <rFont val="Arial"/>
        <family val="2"/>
      </rPr>
      <t xml:space="preserve"> when it is approaching the current date and also make it </t>
    </r>
    <r>
      <rPr>
        <b/>
        <sz val="10"/>
        <color rgb="FFC00000"/>
        <rFont val="Arial"/>
        <family val="2"/>
      </rPr>
      <t>bold</t>
    </r>
    <r>
      <rPr>
        <sz val="10"/>
        <rFont val="Arial"/>
        <family val="2"/>
      </rPr>
      <t xml:space="preserve"> when the task is past due.</t>
    </r>
  </si>
  <si>
    <t>Feature on/off:</t>
  </si>
  <si>
    <t>off</t>
  </si>
  <si>
    <t>Urgency days:</t>
  </si>
  <si>
    <t>Change the urgency days to the right to determine when the End date will change to red.</t>
  </si>
  <si>
    <t>This Gantt Chart spreadsheet is designed to to help you create a simple project schedule. You</t>
  </si>
  <si>
    <t>only need to know some basic spreadsheet operations, such as how to insert, delete, copy and</t>
  </si>
  <si>
    <t>and paste rows and cells. For more advanced uses, such as defining task dependencies, you</t>
  </si>
  <si>
    <t>will need to know how to enter formulas.</t>
  </si>
  <si>
    <t>Before sharing this spreadsheet, please read the license agreement in the TermsOfUse worksheet.</t>
  </si>
  <si>
    <t>This version of the Gantt Chart Template was designed to work in Online Excel and Excel for iPad and iPhone. It will also work in desktop versions of Excel 2010 or Later. Below are some of the notable additions or changes in this version.</t>
  </si>
  <si>
    <t>You can also enter a number 1-6 to use an accent color from the theme palette.</t>
  </si>
  <si>
    <t>Budget</t>
  </si>
  <si>
    <t>Help</t>
  </si>
  <si>
    <t>Country</t>
  </si>
  <si>
    <t>US</t>
  </si>
  <si>
    <t>Boxing Day</t>
  </si>
  <si>
    <t>UK</t>
  </si>
  <si>
    <t>Good Friday</t>
  </si>
  <si>
    <t>Easter Monday</t>
  </si>
  <si>
    <t>Early May Bank Holiday</t>
  </si>
  <si>
    <t>Spring Bank Holiday</t>
  </si>
  <si>
    <t>Summer Bank Holiday</t>
  </si>
  <si>
    <t>Date Format</t>
  </si>
  <si>
    <t>If you would like to display dates in the gantt chart in UK format (dd/mm/yyyy) choose the</t>
  </si>
  <si>
    <t>appropriate option to the right.</t>
  </si>
  <si>
    <t>mdy</t>
  </si>
  <si>
    <t>Example: =SUMPRODUCT(H9:H15,J9:J15)/SUM(H9:H15)</t>
  </si>
  <si>
    <t>Start the Week on Sunday instead of Monday</t>
  </si>
  <si>
    <t>Start Day:</t>
  </si>
  <si>
    <t>The option to the right will allow you to choose to display the work week starting with Sunday instead of Monday. This affects the chart display only, not any other work day formulas.</t>
  </si>
  <si>
    <t>Gantt Chart Template © 2016 by Vertex42.com.</t>
  </si>
  <si>
    <t>Start:</t>
  </si>
  <si>
    <t>Display:</t>
  </si>
  <si>
    <t>Late Summer Bank Holiday</t>
  </si>
  <si>
    <t>Version: Gantt Chart Template 4.0 for Excel 2010 or Later, Excel Online, &amp; Excel for iPad/iPhone</t>
  </si>
  <si>
    <t>New in Version 4.0</t>
  </si>
  <si>
    <t xml:space="preserve"> - How you define the task start date and duration is greatly simplified and much more intuitive.</t>
  </si>
  <si>
    <t>Features Unique to gantt-chart_o365.xlsx (compared to gantt-chart.xlsx)</t>
  </si>
  <si>
    <t>the formulas and formatting from the row immediately above the one you inserted.</t>
  </si>
  <si>
    <t>Right-click on the row number of the row you want to delete and select Delete.</t>
  </si>
  <si>
    <t>If this results in errors, then you probably had formulas that referenced cells in the deleted row.</t>
  </si>
  <si>
    <t>Press CTRL+z to Undo, or search for #REF! errors and fix them.</t>
  </si>
  <si>
    <t>Use the WBS Level column to choose the outline level for the WBS numbering.</t>
  </si>
  <si>
    <t>WBS
Level</t>
  </si>
  <si>
    <t>between two tasks, the formatting is automatically copied, but you need to copy formulas.</t>
  </si>
  <si>
    <t>Below are the recommended ways to add new rows.</t>
  </si>
  <si>
    <t>Note: Use row operations by right-clicking on the Row #</t>
  </si>
  <si>
    <t>Method 1: Insert a Row then Copy Formulas Down</t>
  </si>
  <si>
    <t>1. Right-click on a row and select "Insert"  (This inserts a row ABOVE the selected row)</t>
  </si>
  <si>
    <t>2. Press Ctrl+d to copy formulas and formatting from the row above the new one.</t>
  </si>
  <si>
    <t>3. Edit the green cells in your newly inserted row.</t>
  </si>
  <si>
    <t>Method 2: Copy a Row down using the selection drag handle</t>
  </si>
  <si>
    <t>Note: After inserting a row, you can select the row above it and use the selection drag</t>
  </si>
  <si>
    <t>handle to copy the row down. This is also how you can easily add rows at the bottom.</t>
  </si>
  <si>
    <t>The screenshot on the right shows the</t>
  </si>
  <si>
    <t>selection drag handle for a selected row.</t>
  </si>
  <si>
    <t>Method 3: Copy a Row and Insert the Copied Row</t>
  </si>
  <si>
    <t>1. Right-click on a row and select "Copy"</t>
  </si>
  <si>
    <t>2. Right-click on a row and select "Insert Copied Cells"</t>
  </si>
  <si>
    <t>Note: This method is not preferred because it can result in a messy set of conditional</t>
  </si>
  <si>
    <t>formatting rules. Inserting rows and then copying down via Ctrl+d or using the drag handle</t>
  </si>
  <si>
    <t>is the preferred method.</t>
  </si>
  <si>
    <t>There are many ways to add more tasks. Most importantly, you need to remember to copy</t>
  </si>
  <si>
    <t>formulas and formatting for the entire row when adding new rows. If you insert a row</t>
  </si>
  <si>
    <t xml:space="preserve">WBS numbers, then you may need to enter them as text by preceding the number with an </t>
  </si>
  <si>
    <t>A formula in the WBS column will automatically update the WBS number. The Task Description</t>
  </si>
  <si>
    <t>is also indented using conditional formatting based on the WBS Level.</t>
  </si>
  <si>
    <t>If you leave a blank cell above a WBS number, the numbering will reset to 1. The formulas are meant for convenience, but you can manually enter them if you need to. If you manually enter</t>
  </si>
  <si>
    <t>End:</t>
  </si>
  <si>
    <t>Method 2: Using the Predecessor Column</t>
  </si>
  <si>
    <t>Normally, a task dependency is used to define the start date to be the day after the end date</t>
  </si>
  <si>
    <r>
      <t xml:space="preserve"> - Use the formula =WORKDAY.INTL(</t>
    </r>
    <r>
      <rPr>
        <i/>
        <sz val="10"/>
        <color rgb="FF000000"/>
        <rFont val="Arial"/>
        <family val="2"/>
      </rPr>
      <t>enddate</t>
    </r>
    <r>
      <rPr>
        <sz val="10"/>
        <color rgb="FF000000"/>
        <rFont val="Arial"/>
        <family val="2"/>
      </rPr>
      <t xml:space="preserve">,1,weekend,holidays) where </t>
    </r>
    <r>
      <rPr>
        <i/>
        <sz val="10"/>
        <color rgb="FF000000"/>
        <rFont val="Arial"/>
        <family val="2"/>
      </rPr>
      <t>enddate</t>
    </r>
    <r>
      <rPr>
        <sz val="10"/>
        <color rgb="FF000000"/>
        <rFont val="Arial"/>
        <family val="2"/>
      </rPr>
      <t xml:space="preserve"> is the reference to the End date of a predecessor task.</t>
    </r>
  </si>
  <si>
    <r>
      <t>=WORKDAY.INTL(MAX(</t>
    </r>
    <r>
      <rPr>
        <i/>
        <sz val="10"/>
        <color rgb="FF000000"/>
        <rFont val="Arial"/>
        <family val="2"/>
      </rPr>
      <t>enddate1,enddate2,enddate3</t>
    </r>
    <r>
      <rPr>
        <sz val="10"/>
        <color rgb="FF000000"/>
        <rFont val="Arial"/>
        <family val="2"/>
      </rPr>
      <t>),1,weekend,holidays)</t>
    </r>
  </si>
  <si>
    <t xml:space="preserve"> - For multiple predecessors, the formula would be</t>
  </si>
  <si>
    <r>
      <t xml:space="preserve"> - This formula is very simple: =</t>
    </r>
    <r>
      <rPr>
        <i/>
        <sz val="10"/>
        <color rgb="FF000000"/>
        <rFont val="Arial"/>
        <family val="2"/>
      </rPr>
      <t>enddate</t>
    </r>
    <r>
      <rPr>
        <sz val="10"/>
        <color rgb="FF000000"/>
        <rFont val="Arial"/>
        <family val="2"/>
      </rPr>
      <t>+1</t>
    </r>
  </si>
  <si>
    <r>
      <t xml:space="preserve"> - For multiple predecessors, the formula would be =MAX(</t>
    </r>
    <r>
      <rPr>
        <i/>
        <sz val="10"/>
        <color rgb="FF000000"/>
        <rFont val="Arial"/>
        <family val="2"/>
      </rPr>
      <t>enddate1,enddate2,enddate3</t>
    </r>
    <r>
      <rPr>
        <sz val="10"/>
        <color rgb="FF000000"/>
        <rFont val="Arial"/>
        <family val="2"/>
      </rPr>
      <t>)+1</t>
    </r>
  </si>
  <si>
    <r>
      <t xml:space="preserve"> - This formula is just like the one in C or D, except that in place of the "1" you enter the number of days, such as =WORKDAY.INTL(</t>
    </r>
    <r>
      <rPr>
        <i/>
        <sz val="10"/>
        <color rgb="FF000000"/>
        <rFont val="Arial"/>
        <family val="2"/>
      </rPr>
      <t>startdate</t>
    </r>
    <r>
      <rPr>
        <sz val="10"/>
        <color rgb="FF000000"/>
        <rFont val="Arial"/>
        <family val="2"/>
      </rPr>
      <t>,-5,weekend,holidays)</t>
    </r>
  </si>
  <si>
    <t>Method 1: Creating Your Own Formulas</t>
  </si>
  <si>
    <r>
      <t>A. Reference the project Start date</t>
    </r>
    <r>
      <rPr>
        <sz val="10"/>
        <rFont val="Arial"/>
        <family val="2"/>
      </rPr>
      <t xml:space="preserve"> (e.g. =$C$4 )</t>
    </r>
  </si>
  <si>
    <t>B. Set the Start date to the next Work Day after another task's End date.</t>
  </si>
  <si>
    <t>C. Set the Start date to the next Calendar Day after another task's End date.</t>
  </si>
  <si>
    <t>D. Set the Start date to a number of Work days before or after another date.</t>
  </si>
  <si>
    <t>A. Reference a Predecessor using a formula.</t>
  </si>
  <si>
    <t>B. Enter the Predecessor manually as text.</t>
  </si>
  <si>
    <t>You can use Excel formulas to make tasks adjust based on the start or end of another task.</t>
  </si>
  <si>
    <r>
      <t xml:space="preserve">of a </t>
    </r>
    <r>
      <rPr>
        <i/>
        <sz val="10"/>
        <rFont val="Arial"/>
        <family val="2"/>
      </rPr>
      <t>prior</t>
    </r>
    <r>
      <rPr>
        <sz val="10"/>
        <rFont val="Arial"/>
        <family val="2"/>
      </rPr>
      <t xml:space="preserve"> task. The </t>
    </r>
    <r>
      <rPr>
        <i/>
        <sz val="10"/>
        <rFont val="Arial"/>
        <family val="2"/>
      </rPr>
      <t>prior</t>
    </r>
    <r>
      <rPr>
        <sz val="10"/>
        <rFont val="Arial"/>
        <family val="2"/>
      </rPr>
      <t xml:space="preserve"> task is called the "predecessor." Below are a few different ways that</t>
    </r>
  </si>
  <si>
    <t>you can create task dependencies using Excel formulas.</t>
  </si>
  <si>
    <t>Entering your own formulas allows you to do whatever you want, but may be more difficult. Also, it may not be easy for somebody else to identify your task dependencies.</t>
  </si>
  <si>
    <r>
      <rPr>
        <b/>
        <sz val="10"/>
        <color rgb="FF000000"/>
        <rFont val="Arial"/>
        <family val="2"/>
      </rPr>
      <t>Note:</t>
    </r>
    <r>
      <rPr>
        <sz val="10"/>
        <color rgb="FF000000"/>
        <rFont val="Arial"/>
        <family val="2"/>
      </rPr>
      <t xml:space="preserve"> Refer to Excel's Help system to learn more about the WORKDAY() and WORKDAY.INTL() functions.</t>
    </r>
  </si>
  <si>
    <t>The Predecessor column makes it easy to create a task dependency where the Start date is the next Work Day after a predecessor's end date. To use the Predecessor column, you must enter the WBS for the predecessor task using a formula or as text.</t>
  </si>
  <si>
    <t>In the predecessor column, press "=" and then click on the cell containing the WBS that you want to reference. Then press Enter. This is the preferred method.</t>
  </si>
  <si>
    <r>
      <t xml:space="preserve">You can enter the Predecessor manually, but you must make sure that you enter it as text, or you will end up with a bunch of #NA errors. To enter 1.3 as text, just add an apostrophe at the beginning like this: </t>
    </r>
    <r>
      <rPr>
        <b/>
        <sz val="10"/>
        <rFont val="Arial"/>
        <family val="2"/>
      </rPr>
      <t>'1.3</t>
    </r>
    <r>
      <rPr>
        <sz val="10"/>
        <rFont val="Arial"/>
        <family val="2"/>
      </rPr>
      <t>.</t>
    </r>
  </si>
  <si>
    <r>
      <t>Note</t>
    </r>
    <r>
      <rPr>
        <sz val="10"/>
        <rFont val="Arial"/>
        <family val="2"/>
      </rPr>
      <t xml:space="preserve">: This is </t>
    </r>
    <r>
      <rPr>
        <b/>
        <sz val="10"/>
        <rFont val="Arial"/>
        <family val="2"/>
      </rPr>
      <t>not</t>
    </r>
    <r>
      <rPr>
        <sz val="10"/>
        <rFont val="Arial"/>
        <family val="2"/>
      </rPr>
      <t xml:space="preserve"> the best method, because if you insert a new task, you'll have to update all of the Predecessors again, or at least verify that they are still correct.</t>
    </r>
  </si>
  <si>
    <t>Use a Formula to Change the Color Based on Percent Complete</t>
  </si>
  <si>
    <t>Use a Formula to Show Urgency</t>
  </si>
  <si>
    <t>Color-Code Based on Lead Name</t>
  </si>
  <si>
    <t>formula in the Color column. Note that the Names must match exactly.</t>
  </si>
  <si>
    <r>
      <t>This can be done by entering =MIN(</t>
    </r>
    <r>
      <rPr>
        <i/>
        <sz val="10"/>
        <color rgb="FF000000"/>
        <rFont val="Arial"/>
        <family val="2"/>
      </rPr>
      <t>startdates</t>
    </r>
    <r>
      <rPr>
        <sz val="10"/>
        <color rgb="FF000000"/>
        <rFont val="Arial"/>
        <family val="2"/>
      </rPr>
      <t>) for the Start date and =MAX(</t>
    </r>
    <r>
      <rPr>
        <i/>
        <sz val="10"/>
        <color rgb="FF000000"/>
        <rFont val="Arial"/>
        <family val="2"/>
      </rPr>
      <t>enddates</t>
    </r>
    <r>
      <rPr>
        <sz val="10"/>
        <color rgb="FF000000"/>
        <rFont val="Arial"/>
        <family val="2"/>
      </rPr>
      <t xml:space="preserve">) for the End date, where </t>
    </r>
    <r>
      <rPr>
        <i/>
        <sz val="10"/>
        <color rgb="FF000000"/>
        <rFont val="Arial"/>
        <family val="2"/>
      </rPr>
      <t>startdates</t>
    </r>
    <r>
      <rPr>
        <sz val="10"/>
        <color rgb="FF000000"/>
        <rFont val="Arial"/>
        <family val="2"/>
      </rPr>
      <t xml:space="preserve"> and </t>
    </r>
    <r>
      <rPr>
        <i/>
        <sz val="10"/>
        <color rgb="FF000000"/>
        <rFont val="Arial"/>
        <family val="2"/>
      </rPr>
      <t>enddates</t>
    </r>
    <r>
      <rPr>
        <sz val="10"/>
        <color rgb="FF000000"/>
        <rFont val="Arial"/>
        <family val="2"/>
      </rPr>
      <t xml:space="preserve"> are references to the range of start dates and end dates for the </t>
    </r>
    <r>
      <rPr>
        <sz val="10"/>
        <color rgb="FF000000"/>
        <rFont val="Arial"/>
        <family val="2"/>
      </rPr>
      <t>group of sub tasks.</t>
    </r>
  </si>
  <si>
    <t>Then go to File &gt; Page Setup or File &gt; Print Preview and adjust the Scaling, Margins, and</t>
  </si>
  <si>
    <t>Define the Weekend or NON-WORKING Days</t>
  </si>
  <si>
    <t>Add Rows (Insert New Tasks)</t>
  </si>
  <si>
    <t>Delete a Row (Remove a Task)</t>
  </si>
  <si>
    <t>Edit the WBS Numbering</t>
  </si>
  <si>
    <t>Create Task Dependencies</t>
  </si>
  <si>
    <t>Change the End Date Font to Red when Behind Schedule</t>
  </si>
  <si>
    <t>Change Dates to dd/mm/yyyy Format</t>
  </si>
  <si>
    <t>Change the Color of the Bars in the Gantt Chart</t>
  </si>
  <si>
    <t>How do I make a Summary task show the MIN(start) and MAX(end) for a group of sub-tasks?</t>
  </si>
  <si>
    <t>How do I change the Print Settings? (Excel 2010, 2013)</t>
  </si>
  <si>
    <t>© 2006-2016 Vertex42 LLC</t>
  </si>
  <si>
    <t>Can I use CUT/PASTE to move tasks around?</t>
  </si>
  <si>
    <r>
      <t xml:space="preserve">Yes, the formulas in this spreadsheet were designed to allow you to move tasks around by cutting and inserting the cut </t>
    </r>
    <r>
      <rPr>
        <b/>
        <sz val="10"/>
        <color rgb="FF000000"/>
        <rFont val="Arial"/>
        <family val="2"/>
      </rPr>
      <t>rows</t>
    </r>
    <r>
      <rPr>
        <sz val="10"/>
        <color rgb="FF000000"/>
        <rFont val="Arial"/>
        <family val="2"/>
      </rPr>
      <t xml:space="preserve">. Remember, you must move </t>
    </r>
    <r>
      <rPr>
        <b/>
        <sz val="10"/>
        <color rgb="FF000000"/>
        <rFont val="Arial"/>
        <family val="2"/>
      </rPr>
      <t>entire rows</t>
    </r>
    <r>
      <rPr>
        <sz val="10"/>
        <color rgb="FF000000"/>
        <rFont val="Arial"/>
        <family val="2"/>
      </rPr>
      <t>. Behind the scenes, this may result in a lot of duplicate conditional formatting rules. So, it is best to start a new project with a new spreadsheet rather than one that you have edited heavily.</t>
    </r>
  </si>
  <si>
    <t>Can I use Autofilter?</t>
  </si>
  <si>
    <t>Yes, if you must. However, avoid using Sort unless you know exactly what you are doing and how sorting will make all the WBS numbering change.</t>
  </si>
  <si>
    <t xml:space="preserve"> • Edit the cells with the light green background.</t>
  </si>
  <si>
    <t xml:space="preserve"> • Edit the [ Bracketed Text ] in the header (the project title and sub-title).</t>
  </si>
  <si>
    <t xml:space="preserve"> • Edit cells within gray borders in the header and in the Holidays worksheet.</t>
  </si>
  <si>
    <t xml:space="preserve"> • Toggle between the Daily, Weekly, and Monthly view using the "Display:" drop-down box.</t>
  </si>
  <si>
    <t xml:space="preserve"> • To adjust the range of dates shown in the gantt chart, change the Display Week number.</t>
  </si>
  <si>
    <t xml:space="preserve"> • Some of the labels include cell comments to provide extra help information.</t>
  </si>
  <si>
    <t xml:space="preserve"> • The project Start date determines the first week shown in the gantt chart.</t>
  </si>
  <si>
    <t xml:space="preserve"> • To insert a new task, insert a new row, then with the new row selected, press Ctrl+d to copy</t>
  </si>
  <si>
    <t xml:space="preserve"> • Edit the Holidays worksheet to define the dates that should be considered non-working days.</t>
  </si>
  <si>
    <t xml:space="preserve"> • If you see "#####" in a cell, widen the column to display the cell contents.</t>
  </si>
  <si>
    <t xml:space="preserve"> • Define the START of a task by entering a Predecessor or Start date.</t>
  </si>
  <si>
    <t xml:space="preserve"> • Define the END of a task by entering the End date, or Work Days, or Calendar Days.</t>
  </si>
  <si>
    <r>
      <t xml:space="preserve"> • </t>
    </r>
    <r>
      <rPr>
        <b/>
        <sz val="10"/>
        <color indexed="10"/>
        <rFont val="Arial"/>
        <family val="2"/>
      </rPr>
      <t>Backup</t>
    </r>
    <r>
      <rPr>
        <sz val="10"/>
        <color indexed="10"/>
        <rFont val="Arial"/>
        <family val="2"/>
      </rPr>
      <t xml:space="preserve"> your file regularly to avoid losing data! Excel files get corrupted occasionally.</t>
    </r>
  </si>
  <si>
    <t xml:space="preserve"> • It uses the WORKDAY.INTL and NETWORKDAYS.INTL functions which allow you define which days of the week are considered non-working days (explained in the Help below).</t>
  </si>
  <si>
    <t xml:space="preserve"> • You can highlight the End date red when the task is overdue (explained in the Help below).</t>
  </si>
  <si>
    <t xml:space="preserve"> • Instead of changing the color of the bars to indicate completion status, conditional formatting is used to display a progress bar within the % Done column.</t>
  </si>
  <si>
    <t xml:space="preserve"> • The number of columns used to display the gantt chart had to be reduced, so the Weekly and Monthly views are less precise, meaning a week or month containing a 1-day task has a bar that is the same length as a week or month containing a 5-day task.</t>
  </si>
  <si>
    <t xml:space="preserve"> • You can define one Predecessor per task (instead of 3).</t>
  </si>
  <si>
    <t xml:space="preserve"> • The "Show Weekends" option was removed. In the Daily view, if you do not want to show weekends, you may hide the columns you do not want to show (though you would need to unhide them when using the Weekly or Monthly views).</t>
  </si>
  <si>
    <r>
      <t xml:space="preserve">apostrophe, such as </t>
    </r>
    <r>
      <rPr>
        <b/>
        <sz val="10"/>
        <color rgb="FF000000"/>
        <rFont val="Arial"/>
        <family val="2"/>
      </rPr>
      <t>'2</t>
    </r>
    <r>
      <rPr>
        <sz val="10"/>
        <color rgb="FF000000"/>
        <rFont val="Arial"/>
        <family val="2"/>
      </rPr>
      <t>. Just remember that if you enter them manually, the WBS Level</t>
    </r>
  </si>
  <si>
    <t>column cannot be used to change them.</t>
  </si>
  <si>
    <t>Terms of Use</t>
  </si>
  <si>
    <t xml:space="preserve"> - The information in the header is positioned to allow you to hide columns that you do not need to see.</t>
  </si>
  <si>
    <t xml:space="preserve"> - Choose the WBS Level from a drop-down to update the WBS numbering and automatically indent the Task Description.</t>
  </si>
  <si>
    <t>Be sure to read the Getting Started Tips below. It would also be a good idea to watch the demo videos on Vertex42.com. The demo videos use the desktop version of Excel, but much of the information is still applicable to users of Excel Online.</t>
  </si>
  <si>
    <t>Monday</t>
  </si>
  <si>
    <t xml:space="preserve">◄ </t>
  </si>
  <si>
    <t>Unhide columns to edit tasks ►</t>
  </si>
  <si>
    <t>Home Construction Project Schedule</t>
  </si>
  <si>
    <r>
      <rPr>
        <b/>
        <sz val="9"/>
        <rFont val="Arial"/>
        <family val="2"/>
      </rPr>
      <t>XYZ Home Builder</t>
    </r>
    <r>
      <rPr>
        <sz val="9"/>
        <rFont val="Arial"/>
        <family val="2"/>
      </rPr>
      <t>, Project Lead: Bob Brown</t>
    </r>
  </si>
  <si>
    <t>Apply For Permits</t>
  </si>
  <si>
    <t>Framing permit</t>
  </si>
  <si>
    <t>Electrical permit</t>
  </si>
  <si>
    <t>Plumbing permit</t>
  </si>
  <si>
    <t>HVAC permit</t>
  </si>
  <si>
    <t>Site Work</t>
  </si>
  <si>
    <t>Level lot</t>
  </si>
  <si>
    <t>Install underground utilities</t>
  </si>
  <si>
    <t>Foundation</t>
  </si>
  <si>
    <t>Footings - Excavate and Form</t>
  </si>
  <si>
    <t>Footings - Poor Concrete</t>
  </si>
  <si>
    <t>Footings - Cure Concrete</t>
  </si>
  <si>
    <t>Foundation - Build Forms</t>
  </si>
  <si>
    <t>Foundation- Poor Concrete</t>
  </si>
  <si>
    <t>Foundation- Cure Concrete</t>
  </si>
  <si>
    <t>Foundation- Inspection</t>
  </si>
  <si>
    <t>Framing</t>
  </si>
  <si>
    <t>Frame 1st Floor Walls</t>
  </si>
  <si>
    <t>Install 2nd Floor Joists</t>
  </si>
  <si>
    <t>Install 2nd Floor Decking</t>
  </si>
  <si>
    <t>Frame 2nd Floor Walls</t>
  </si>
  <si>
    <t>Install attice Joists</t>
  </si>
  <si>
    <t>Frame roof structures</t>
  </si>
  <si>
    <t>Framing Inspection</t>
  </si>
  <si>
    <t>Dry In</t>
  </si>
  <si>
    <t>Outside sheeting - 1st floor</t>
  </si>
  <si>
    <t>Outside sheeting - 2nd floor</t>
  </si>
  <si>
    <t>Outside sheeting - roof</t>
  </si>
  <si>
    <t>Lay roof paper and tile shingles</t>
  </si>
  <si>
    <t>Paper and Barriers</t>
  </si>
  <si>
    <t>Install windows and exterior doors</t>
  </si>
  <si>
    <t>Exterior Finish</t>
  </si>
  <si>
    <t>Hang exterior siding</t>
  </si>
  <si>
    <t>Complete rock work</t>
  </si>
  <si>
    <t>Hang Garage Door</t>
  </si>
  <si>
    <t>Utility Rough Ins</t>
  </si>
  <si>
    <t>Plumbing Rough In</t>
  </si>
  <si>
    <t>Plumbing Inspection</t>
  </si>
  <si>
    <t>Electrical Rough In</t>
  </si>
  <si>
    <t>Electrical Inspection</t>
  </si>
  <si>
    <t>HVAC Rough In</t>
  </si>
  <si>
    <t>HVAC Inspection</t>
  </si>
  <si>
    <t>Low voltage/data Rough In</t>
  </si>
  <si>
    <t>Interior</t>
  </si>
  <si>
    <t>Insulate - 1st Floor</t>
  </si>
  <si>
    <t>Insulate - 2nd Floor</t>
  </si>
  <si>
    <t>Insulate - Attic</t>
  </si>
  <si>
    <t>Insulation Inspection</t>
  </si>
  <si>
    <t>Drywall - 1st Floor</t>
  </si>
  <si>
    <t>Drywall - 2nd Floor</t>
  </si>
  <si>
    <t>Tape and Mud 1st Floor</t>
  </si>
  <si>
    <t>Tape and mud 2nd Floor</t>
  </si>
  <si>
    <t>Texture - 1st Floor</t>
  </si>
  <si>
    <t>Texture - 2nd Floor</t>
  </si>
  <si>
    <t>Paint 1st Floor</t>
  </si>
  <si>
    <t>Paint 2nd Floor</t>
  </si>
  <si>
    <t>Exterior Paint</t>
  </si>
  <si>
    <t>Install Kitchen Cabinets</t>
  </si>
  <si>
    <t>Install Bathroom Cabinets</t>
  </si>
  <si>
    <t>Finished woodworking</t>
  </si>
  <si>
    <t>Complete electrical - 1st floor</t>
  </si>
  <si>
    <t>Complete electrical - 2nd floor</t>
  </si>
  <si>
    <t>Final electrical inspection</t>
  </si>
  <si>
    <t>Finish plumbing - 1st floor</t>
  </si>
  <si>
    <t>Finish plumbing - 2nd floor</t>
  </si>
  <si>
    <t>Final plumbing inspection</t>
  </si>
  <si>
    <t>Complete HVAC</t>
  </si>
  <si>
    <t>Final HVAC Inspection</t>
  </si>
  <si>
    <t>Lay tile - Bathrooms</t>
  </si>
  <si>
    <t>Lay title - Kitchen</t>
  </si>
  <si>
    <t>Install Appliances</t>
  </si>
  <si>
    <t>Carpet - 1st Floor</t>
  </si>
  <si>
    <t>Carpet - 2nd Floor</t>
  </si>
  <si>
    <t>Landscaping</t>
  </si>
  <si>
    <t>Install sprinkler system</t>
  </si>
  <si>
    <t>Poor driveway/side walk concrete</t>
  </si>
  <si>
    <t>Concrete cure</t>
  </si>
  <si>
    <t>Lay sod</t>
  </si>
  <si>
    <t>Finish planting flowerbeds</t>
  </si>
  <si>
    <t>Final Cleanup and Approval</t>
  </si>
  <si>
    <t>Fiinal inspection</t>
  </si>
  <si>
    <t>Cleanup for walk through</t>
  </si>
  <si>
    <t>Final walk through</t>
  </si>
  <si>
    <t>Final touchups/repairs</t>
  </si>
  <si>
    <t>Weekly</t>
  </si>
  <si>
    <t>https://www.vertex42.com/ExcelTemplates/excel-gantt-chart.html</t>
  </si>
  <si>
    <t>https://www.vertex42.com/licensing/EULA_privateuse.html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</si>
</sst>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 /\ d\ /\ yy"/>
    <numFmt numFmtId="165" formatCode="[$-409]ddd\ m/dd/yy"/>
    <numFmt numFmtId="166" formatCode="d"/>
    <numFmt numFmtId="167" formatCode="[$-409]d\-mmm\-yyyy;@"/>
    <numFmt numFmtId="168" formatCode="[$-409]ddd\ m/d/yyyy"/>
  </numFmts>
  <fonts count="58" x14ac:knownFonts="1">
    <font>
      <sz val="10"/>
      <name val="Arial"/>
    </font>
    <font>
      <sz val="10"/>
      <name val="Arial"/>
      <family val="2"/>
    </font>
    <font>
      <u/>
      <sz val="10"/>
      <color indexed="12"/>
      <name val="Arial"/>
      <family val="2"/>
    </font>
    <font>
      <sz val="8"/>
      <name val="Arial"/>
      <family val="2"/>
    </font>
    <font>
      <u/>
      <sz val="8"/>
      <color indexed="12"/>
      <name val="Arial"/>
      <family val="2"/>
    </font>
    <font>
      <b/>
      <sz val="12"/>
      <name val="Arial"/>
      <family val="2"/>
    </font>
    <font>
      <sz val="10"/>
      <name val="Arial"/>
      <family val="2"/>
    </font>
    <font>
      <b/>
      <sz val="10"/>
      <name val="Arial"/>
      <family val="2"/>
    </font>
    <font>
      <b/>
      <sz val="8"/>
      <color indexed="81"/>
      <name val="Tahoma"/>
      <family val="2"/>
    </font>
    <font>
      <sz val="8"/>
      <color indexed="81"/>
      <name val="Tahoma"/>
      <family val="2"/>
    </font>
    <font>
      <sz val="14"/>
      <color indexed="56"/>
      <name val="Arial"/>
      <family val="2"/>
    </font>
    <font>
      <b/>
      <sz val="9"/>
      <name val="Arial"/>
      <family val="2"/>
    </font>
    <font>
      <sz val="9"/>
      <name val="Arial"/>
      <family val="2"/>
    </font>
    <font>
      <sz val="7"/>
      <color indexed="55"/>
      <name val="Arial"/>
      <family val="2"/>
    </font>
    <font>
      <sz val="8"/>
      <color indexed="22"/>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9"/>
      <color rgb="FF000000"/>
      <name val="Arial"/>
      <family val="2"/>
    </font>
    <font>
      <sz val="10"/>
      <color rgb="FF000000"/>
      <name val="Arial"/>
      <family val="2"/>
    </font>
    <font>
      <b/>
      <sz val="10"/>
      <color rgb="FF000000"/>
      <name val="Arial"/>
      <family val="2"/>
    </font>
    <font>
      <i/>
      <sz val="8"/>
      <color theme="0" tint="-0.249977111117893"/>
      <name val="Arial"/>
      <family val="2"/>
    </font>
    <font>
      <sz val="10"/>
      <color theme="3" tint="-0.249977111117893"/>
      <name val="Arial"/>
      <family val="2"/>
    </font>
    <font>
      <sz val="9"/>
      <color theme="1" tint="0.499984740745262"/>
      <name val="Arial"/>
      <family val="2"/>
    </font>
    <font>
      <b/>
      <sz val="10"/>
      <color indexed="10"/>
      <name val="Arial"/>
      <family val="2"/>
    </font>
    <font>
      <sz val="10"/>
      <color indexed="10"/>
      <name val="Arial"/>
      <family val="2"/>
    </font>
    <font>
      <sz val="11"/>
      <name val="Arial"/>
      <family val="2"/>
    </font>
    <font>
      <b/>
      <sz val="12"/>
      <color theme="1"/>
      <name val="Arial"/>
      <family val="2"/>
    </font>
    <font>
      <sz val="18"/>
      <color theme="3"/>
      <name val="Arial"/>
      <family val="2"/>
    </font>
    <font>
      <i/>
      <sz val="10"/>
      <color rgb="FF000000"/>
      <name val="Arial"/>
      <family val="2"/>
    </font>
    <font>
      <sz val="10"/>
      <color rgb="FFC00000"/>
      <name val="Arial"/>
      <family val="2"/>
    </font>
    <font>
      <i/>
      <sz val="10"/>
      <name val="Arial"/>
      <family val="2"/>
    </font>
    <font>
      <b/>
      <sz val="10"/>
      <color rgb="FFC00000"/>
      <name val="Arial"/>
      <family val="2"/>
    </font>
    <font>
      <sz val="14"/>
      <color theme="4" tint="-0.499984740745262"/>
      <name val="Arial"/>
      <family val="2"/>
    </font>
    <font>
      <sz val="18"/>
      <color theme="4" tint="-0.249977111117893"/>
      <name val="Arial"/>
      <family val="2"/>
    </font>
    <font>
      <b/>
      <sz val="12"/>
      <color theme="4" tint="-0.249977111117893"/>
      <name val="Arial"/>
      <family val="2"/>
    </font>
    <font>
      <sz val="8"/>
      <color rgb="FF000000"/>
      <name val="Arial"/>
      <family val="2"/>
    </font>
    <font>
      <b/>
      <u/>
      <sz val="10"/>
      <color indexed="12"/>
      <name val="Arial"/>
      <family val="2"/>
    </font>
    <font>
      <b/>
      <sz val="8"/>
      <name val="Arial"/>
      <family val="2"/>
    </font>
    <font>
      <sz val="10"/>
      <color theme="0" tint="-0.249977111117893"/>
      <name val="Arial"/>
      <family val="2"/>
    </font>
    <font>
      <i/>
      <sz val="8"/>
      <color theme="4"/>
      <name val="Arial"/>
      <family val="2"/>
    </font>
    <font>
      <sz val="8"/>
      <color theme="4"/>
      <name val="Arial"/>
      <family val="2"/>
    </font>
  </fonts>
  <fills count="28">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rgb="FFBAE0BD"/>
        <bgColor indexed="64"/>
      </patternFill>
    </fill>
    <fill>
      <patternFill patternType="solid">
        <fgColor theme="0" tint="-0.249977111117893"/>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left>
      <right style="thin">
        <color theme="0"/>
      </right>
      <top style="thin">
        <color theme="0"/>
      </top>
      <bottom style="thin">
        <color theme="4"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rgb="FFEAEAEA"/>
      </top>
      <bottom style="thin">
        <color rgb="FFEAEAEA"/>
      </bottom>
      <diagonal/>
    </border>
    <border>
      <left/>
      <right/>
      <top/>
      <bottom style="thin">
        <color rgb="FFEAEAEA"/>
      </bottom>
      <diagonal/>
    </border>
    <border>
      <left/>
      <right/>
      <top/>
      <bottom style="thin">
        <color indexed="64"/>
      </bottom>
      <diagonal/>
    </border>
    <border>
      <left style="thin">
        <color theme="0" tint="-0.24994659260841701"/>
      </left>
      <right style="thin">
        <color theme="0" tint="-0.24994659260841701"/>
      </right>
      <top/>
      <bottom style="thin">
        <color indexed="64"/>
      </bottom>
      <diagonal/>
    </border>
  </borders>
  <cellStyleXfs count="44">
    <xf numFmtId="0" fontId="0" fillId="0" borderId="0"/>
    <xf numFmtId="0" fontId="15" fillId="2"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2"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15" fillId="6"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8"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10" borderId="0" applyNumberFormat="0" applyBorder="0" applyAlignment="0" applyProtection="0"/>
    <xf numFmtId="0" fontId="16" fillId="12" borderId="0" applyNumberFormat="0" applyBorder="0" applyAlignment="0" applyProtection="0"/>
    <xf numFmtId="0" fontId="16" fillId="9"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7" fillId="16" borderId="0" applyNumberFormat="0" applyBorder="0" applyAlignment="0" applyProtection="0"/>
    <xf numFmtId="0" fontId="18" fillId="17" borderId="1" applyNumberFormat="0" applyAlignment="0" applyProtection="0"/>
    <xf numFmtId="0" fontId="19" fillId="18" borderId="2" applyNumberFormat="0" applyAlignment="0" applyProtection="0"/>
    <xf numFmtId="0" fontId="20" fillId="0" borderId="0" applyNumberFormat="0" applyFill="0" applyBorder="0" applyAlignment="0" applyProtection="0"/>
    <xf numFmtId="0" fontId="21" fillId="19" borderId="0" applyNumberFormat="0" applyBorder="0" applyAlignment="0" applyProtection="0"/>
    <xf numFmtId="0" fontId="22" fillId="0" borderId="3" applyNumberFormat="0" applyFill="0" applyAlignment="0" applyProtection="0"/>
    <xf numFmtId="0" fontId="23" fillId="0" borderId="4" applyNumberFormat="0" applyFill="0" applyAlignment="0" applyProtection="0"/>
    <xf numFmtId="0" fontId="24" fillId="0" borderId="5" applyNumberFormat="0" applyFill="0" applyAlignment="0" applyProtection="0"/>
    <xf numFmtId="0" fontId="24" fillId="0" borderId="0" applyNumberFormat="0" applyFill="0" applyBorder="0" applyAlignment="0" applyProtection="0"/>
    <xf numFmtId="0" fontId="2" fillId="0" borderId="0" applyNumberFormat="0" applyFill="0" applyBorder="0" applyAlignment="0" applyProtection="0">
      <alignment vertical="top"/>
      <protection locked="0"/>
    </xf>
    <xf numFmtId="0" fontId="25" fillId="11" borderId="1" applyNumberFormat="0" applyAlignment="0" applyProtection="0"/>
    <xf numFmtId="0" fontId="26" fillId="0" borderId="6" applyNumberFormat="0" applyFill="0" applyAlignment="0" applyProtection="0"/>
    <xf numFmtId="0" fontId="27" fillId="5" borderId="0" applyNumberFormat="0" applyBorder="0" applyAlignment="0" applyProtection="0"/>
    <xf numFmtId="0" fontId="6" fillId="5" borderId="7" applyNumberFormat="0" applyFont="0" applyAlignment="0" applyProtection="0"/>
    <xf numFmtId="0" fontId="28" fillId="17" borderId="8" applyNumberFormat="0" applyAlignment="0" applyProtection="0"/>
    <xf numFmtId="9" fontId="1" fillId="0" borderId="0" applyFont="0" applyFill="0" applyBorder="0" applyAlignment="0" applyProtection="0"/>
    <xf numFmtId="0" fontId="29" fillId="0" borderId="0" applyNumberFormat="0" applyFill="0" applyBorder="0" applyAlignment="0" applyProtection="0"/>
    <xf numFmtId="0" fontId="30" fillId="0" borderId="9" applyNumberFormat="0" applyFill="0" applyAlignment="0" applyProtection="0"/>
    <xf numFmtId="0" fontId="31" fillId="0" borderId="0" applyNumberFormat="0" applyFill="0" applyBorder="0" applyAlignment="0" applyProtection="0"/>
  </cellStyleXfs>
  <cellXfs count="163">
    <xf numFmtId="0" fontId="0" fillId="0" borderId="0" xfId="0"/>
    <xf numFmtId="0" fontId="0" fillId="20" borderId="0" xfId="0" applyFill="1"/>
    <xf numFmtId="0" fontId="3" fillId="0" borderId="0" xfId="0" applyFont="1"/>
    <xf numFmtId="164" fontId="14" fillId="21" borderId="0" xfId="0" applyNumberFormat="1" applyFont="1" applyFill="1" applyAlignment="1">
      <alignment horizontal="center" vertical="center"/>
    </xf>
    <xf numFmtId="0" fontId="4" fillId="20" borderId="0" xfId="34" applyNumberFormat="1" applyFont="1" applyFill="1" applyAlignment="1" applyProtection="1">
      <alignment horizontal="right"/>
    </xf>
    <xf numFmtId="0" fontId="0" fillId="0" borderId="0" xfId="0" applyAlignment="1">
      <alignment horizontal="left" indent="1"/>
    </xf>
    <xf numFmtId="0" fontId="7" fillId="0" borderId="0" xfId="0" applyFont="1" applyAlignment="1">
      <alignment horizontal="right"/>
    </xf>
    <xf numFmtId="0" fontId="7" fillId="0" borderId="0" xfId="0" applyFont="1" applyAlignment="1">
      <alignment horizontal="center"/>
    </xf>
    <xf numFmtId="49" fontId="1" fillId="22" borderId="10" xfId="0" applyNumberFormat="1" applyFont="1" applyFill="1" applyBorder="1" applyAlignment="1">
      <alignment horizontal="center"/>
    </xf>
    <xf numFmtId="0" fontId="1" fillId="0" borderId="0" xfId="0" applyFont="1"/>
    <xf numFmtId="0" fontId="38" fillId="0" borderId="0" xfId="0" applyFont="1" applyAlignment="1">
      <alignment horizontal="right"/>
    </xf>
    <xf numFmtId="0" fontId="1" fillId="24" borderId="0" xfId="0" applyFont="1" applyFill="1" applyAlignment="1">
      <alignment horizontal="center"/>
    </xf>
    <xf numFmtId="0" fontId="1" fillId="24" borderId="0" xfId="0" applyFont="1" applyFill="1"/>
    <xf numFmtId="0" fontId="39" fillId="0" borderId="0" xfId="0" applyFont="1"/>
    <xf numFmtId="0" fontId="6" fillId="22" borderId="0" xfId="0" applyFont="1" applyFill="1" applyAlignment="1">
      <alignment horizontal="center"/>
    </xf>
    <xf numFmtId="0" fontId="1" fillId="22" borderId="0" xfId="0" applyFont="1" applyFill="1" applyAlignment="1">
      <alignment horizontal="left" indent="1"/>
    </xf>
    <xf numFmtId="14" fontId="0" fillId="0" borderId="0" xfId="0" applyNumberFormat="1"/>
    <xf numFmtId="0" fontId="3" fillId="0" borderId="0" xfId="0" applyFont="1" applyAlignment="1">
      <alignment horizontal="right"/>
    </xf>
    <xf numFmtId="0" fontId="1" fillId="0" borderId="0" xfId="0" applyFont="1" applyAlignment="1">
      <alignment horizontal="left" indent="1"/>
    </xf>
    <xf numFmtId="0" fontId="7" fillId="0" borderId="0" xfId="0" applyFont="1"/>
    <xf numFmtId="0" fontId="1" fillId="0" borderId="0" xfId="0" applyFont="1" applyAlignment="1">
      <alignment horizontal="left" wrapText="1" indent="1"/>
    </xf>
    <xf numFmtId="0" fontId="1" fillId="21" borderId="0" xfId="0" applyFont="1" applyFill="1" applyAlignment="1">
      <alignment horizontal="center"/>
    </xf>
    <xf numFmtId="0" fontId="1" fillId="0" borderId="0" xfId="0" applyFont="1" applyAlignment="1">
      <alignment horizontal="left"/>
    </xf>
    <xf numFmtId="0" fontId="41" fillId="0" borderId="0" xfId="0" applyFont="1" applyAlignment="1">
      <alignment horizontal="left"/>
    </xf>
    <xf numFmtId="0" fontId="1" fillId="0" borderId="0" xfId="0" applyFont="1" applyAlignment="1">
      <alignment horizontal="center"/>
    </xf>
    <xf numFmtId="0" fontId="1" fillId="0" borderId="0" xfId="0" quotePrefix="1" applyFont="1" applyAlignment="1">
      <alignment horizontal="left" wrapText="1" indent="1"/>
    </xf>
    <xf numFmtId="0" fontId="7" fillId="0" borderId="0" xfId="0" applyFont="1" applyAlignment="1">
      <alignment horizontal="left" wrapText="1" indent="1"/>
    </xf>
    <xf numFmtId="0" fontId="1" fillId="0" borderId="12" xfId="0" applyFont="1" applyBorder="1"/>
    <xf numFmtId="0" fontId="0" fillId="0" borderId="12" xfId="0" applyBorder="1"/>
    <xf numFmtId="0" fontId="32" fillId="0" borderId="13" xfId="0" applyFont="1" applyBorder="1" applyAlignment="1">
      <alignment horizontal="left" wrapText="1" indent="1"/>
    </xf>
    <xf numFmtId="0" fontId="42" fillId="0" borderId="12" xfId="0" applyFont="1" applyBorder="1"/>
    <xf numFmtId="0" fontId="32" fillId="0" borderId="12" xfId="0" applyFont="1" applyBorder="1" applyAlignment="1">
      <alignment horizontal="left" wrapText="1"/>
    </xf>
    <xf numFmtId="0" fontId="5" fillId="0" borderId="12" xfId="0" applyFont="1" applyBorder="1" applyAlignment="1">
      <alignment horizontal="left" wrapText="1"/>
    </xf>
    <xf numFmtId="0" fontId="33" fillId="0" borderId="12" xfId="0" applyFont="1" applyBorder="1" applyAlignment="1">
      <alignment horizontal="left" wrapText="1"/>
    </xf>
    <xf numFmtId="0" fontId="32" fillId="0" borderId="12" xfId="0" applyFont="1" applyBorder="1" applyAlignment="1">
      <alignment horizontal="left"/>
    </xf>
    <xf numFmtId="0" fontId="2" fillId="0" borderId="0" xfId="34" applyAlignment="1" applyProtection="1"/>
    <xf numFmtId="0" fontId="35" fillId="0" borderId="0" xfId="0" applyFont="1"/>
    <xf numFmtId="0" fontId="36" fillId="0" borderId="0" xfId="0" applyFont="1"/>
    <xf numFmtId="0" fontId="35" fillId="0" borderId="0" xfId="0" applyFont="1" applyAlignment="1">
      <alignment wrapText="1"/>
    </xf>
    <xf numFmtId="0" fontId="3" fillId="0" borderId="0" xfId="0" applyFont="1" applyAlignment="1">
      <alignment wrapText="1"/>
    </xf>
    <xf numFmtId="0" fontId="35" fillId="0" borderId="0" xfId="0" applyFont="1" applyAlignment="1">
      <alignment horizontal="right"/>
    </xf>
    <xf numFmtId="0" fontId="35" fillId="0" borderId="0" xfId="0" applyFont="1" applyAlignment="1">
      <alignment horizontal="left" wrapText="1"/>
    </xf>
    <xf numFmtId="0" fontId="35" fillId="0" borderId="0" xfId="0" applyFont="1" applyAlignment="1">
      <alignment horizontal="left" wrapText="1" indent="1"/>
    </xf>
    <xf numFmtId="0" fontId="36" fillId="0" borderId="0" xfId="0" applyFont="1" applyAlignment="1">
      <alignment horizontal="right"/>
    </xf>
    <xf numFmtId="0" fontId="1" fillId="0" borderId="0" xfId="0" applyFont="1" applyAlignment="1">
      <alignment wrapText="1"/>
    </xf>
    <xf numFmtId="0" fontId="1" fillId="0" borderId="0" xfId="0" applyFont="1" applyAlignment="1">
      <alignment horizontal="right"/>
    </xf>
    <xf numFmtId="0" fontId="0" fillId="0" borderId="0" xfId="0" applyAlignment="1">
      <alignment horizontal="center"/>
    </xf>
    <xf numFmtId="0" fontId="7" fillId="23" borderId="0" xfId="0" applyFont="1" applyFill="1"/>
    <xf numFmtId="0" fontId="7" fillId="23" borderId="0" xfId="0" applyFont="1" applyFill="1" applyAlignment="1">
      <alignment horizontal="center"/>
    </xf>
    <xf numFmtId="0" fontId="0" fillId="23" borderId="0" xfId="0" applyFill="1"/>
    <xf numFmtId="0" fontId="7" fillId="23" borderId="0" xfId="0" applyFont="1" applyFill="1" applyAlignment="1">
      <alignment horizontal="right"/>
    </xf>
    <xf numFmtId="0" fontId="50" fillId="0" borderId="15" xfId="0" applyFont="1" applyBorder="1" applyAlignment="1">
      <alignment horizontal="left" vertical="center"/>
    </xf>
    <xf numFmtId="0" fontId="44" fillId="0" borderId="15" xfId="0" applyFont="1" applyBorder="1" applyAlignment="1">
      <alignment horizontal="left" vertical="center"/>
    </xf>
    <xf numFmtId="0" fontId="51" fillId="0" borderId="0" xfId="0" applyFont="1" applyAlignment="1">
      <alignment horizontal="left"/>
    </xf>
    <xf numFmtId="0" fontId="1" fillId="25" borderId="0" xfId="0" applyFont="1" applyFill="1" applyAlignment="1">
      <alignment horizontal="center"/>
    </xf>
    <xf numFmtId="0" fontId="3" fillId="0" borderId="0" xfId="0" applyFont="1" applyAlignment="1">
      <alignment horizontal="left" vertical="center"/>
    </xf>
    <xf numFmtId="0" fontId="2" fillId="0" borderId="13" xfId="34" applyBorder="1" applyAlignment="1" applyProtection="1">
      <alignment horizontal="left" wrapText="1"/>
    </xf>
    <xf numFmtId="0" fontId="0" fillId="0" borderId="0" xfId="0" applyAlignment="1">
      <alignment horizontal="left" vertical="center"/>
    </xf>
    <xf numFmtId="0" fontId="1" fillId="22" borderId="0" xfId="0" applyFont="1" applyFill="1" applyAlignment="1">
      <alignment horizontal="left" vertical="center"/>
    </xf>
    <xf numFmtId="166" fontId="3" fillId="0" borderId="11" xfId="0" applyNumberFormat="1" applyFont="1" applyBorder="1" applyAlignment="1">
      <alignment horizontal="center"/>
    </xf>
    <xf numFmtId="0" fontId="49" fillId="0" borderId="0" xfId="0" applyFont="1" applyAlignment="1">
      <alignment vertical="center"/>
    </xf>
    <xf numFmtId="0" fontId="10" fillId="0" borderId="0" xfId="0" applyFont="1" applyAlignment="1">
      <alignment vertical="center"/>
    </xf>
    <xf numFmtId="0" fontId="13" fillId="0" borderId="0" xfId="0" applyFont="1"/>
    <xf numFmtId="0" fontId="37" fillId="0" borderId="0" xfId="0" applyFont="1" applyAlignment="1">
      <alignment vertical="center"/>
    </xf>
    <xf numFmtId="0" fontId="12" fillId="0" borderId="0" xfId="0" applyFont="1"/>
    <xf numFmtId="1" fontId="34" fillId="0" borderId="17" xfId="0" applyNumberFormat="1" applyFont="1" applyBorder="1" applyAlignment="1">
      <alignment horizontal="center"/>
    </xf>
    <xf numFmtId="0" fontId="12" fillId="0" borderId="17" xfId="0" applyFont="1" applyBorder="1" applyAlignment="1">
      <alignment horizontal="center" vertical="center"/>
    </xf>
    <xf numFmtId="0" fontId="1" fillId="0" borderId="17" xfId="0" applyFont="1" applyBorder="1"/>
    <xf numFmtId="0" fontId="12" fillId="0" borderId="17" xfId="0" applyFont="1" applyBorder="1"/>
    <xf numFmtId="0" fontId="12" fillId="0" borderId="0" xfId="0" applyFont="1" applyAlignment="1">
      <alignment horizontal="center" wrapText="1"/>
    </xf>
    <xf numFmtId="0" fontId="1" fillId="0" borderId="16" xfId="0" applyFont="1" applyBorder="1" applyAlignment="1">
      <alignment horizontal="center"/>
    </xf>
    <xf numFmtId="14" fontId="0" fillId="0" borderId="14" xfId="0" applyNumberFormat="1" applyBorder="1"/>
    <xf numFmtId="0" fontId="0" fillId="0" borderId="14" xfId="0" applyBorder="1" applyAlignment="1">
      <alignment horizontal="left" indent="1"/>
    </xf>
    <xf numFmtId="0" fontId="0" fillId="0" borderId="14" xfId="0" applyBorder="1" applyAlignment="1">
      <alignment horizontal="left" vertical="center"/>
    </xf>
    <xf numFmtId="0" fontId="1" fillId="0" borderId="14" xfId="0" applyFont="1" applyBorder="1" applyAlignment="1">
      <alignment horizontal="left" vertical="center"/>
    </xf>
    <xf numFmtId="0" fontId="1" fillId="0" borderId="14" xfId="0" applyFont="1" applyBorder="1" applyAlignment="1">
      <alignment horizontal="left" indent="1"/>
    </xf>
    <xf numFmtId="0" fontId="1" fillId="26" borderId="0" xfId="0" applyFont="1" applyFill="1" applyAlignment="1">
      <alignment horizontal="center"/>
    </xf>
    <xf numFmtId="0" fontId="47" fillId="0" borderId="0" xfId="0" applyFont="1"/>
    <xf numFmtId="0" fontId="35" fillId="0" borderId="0" xfId="0" quotePrefix="1" applyFont="1" applyAlignment="1">
      <alignment horizontal="left" wrapText="1" indent="1"/>
    </xf>
    <xf numFmtId="0" fontId="53" fillId="0" borderId="0" xfId="34" applyFont="1" applyAlignment="1" applyProtection="1">
      <alignment horizontal="center"/>
    </xf>
    <xf numFmtId="0" fontId="3" fillId="23" borderId="18" xfId="0" applyFont="1" applyFill="1" applyBorder="1" applyAlignment="1">
      <alignment horizontal="left"/>
    </xf>
    <xf numFmtId="0" fontId="12" fillId="0" borderId="19" xfId="0" applyFont="1" applyBorder="1" applyAlignment="1">
      <alignment horizontal="center" wrapText="1"/>
    </xf>
    <xf numFmtId="0" fontId="12" fillId="0" borderId="20" xfId="0" applyFont="1" applyBorder="1" applyAlignment="1">
      <alignment horizontal="center" shrinkToFit="1"/>
    </xf>
    <xf numFmtId="14" fontId="52" fillId="23" borderId="17" xfId="0" applyNumberFormat="1" applyFont="1" applyFill="1" applyBorder="1" applyAlignment="1">
      <alignment horizontal="right" shrinkToFit="1"/>
    </xf>
    <xf numFmtId="0" fontId="1" fillId="0" borderId="0" xfId="0" applyFont="1" applyAlignment="1">
      <alignment vertical="center"/>
    </xf>
    <xf numFmtId="1" fontId="52" fillId="23" borderId="17" xfId="0" applyNumberFormat="1" applyFont="1" applyFill="1" applyBorder="1" applyAlignment="1">
      <alignment horizontal="center"/>
    </xf>
    <xf numFmtId="0" fontId="3" fillId="26" borderId="17" xfId="0" applyFont="1" applyFill="1" applyBorder="1" applyAlignment="1" applyProtection="1">
      <alignment horizontal="left"/>
      <protection locked="0"/>
    </xf>
    <xf numFmtId="0" fontId="12" fillId="0" borderId="0" xfId="0" applyFont="1" applyAlignment="1">
      <alignment horizontal="right" vertical="center"/>
    </xf>
    <xf numFmtId="0" fontId="12" fillId="0" borderId="0" xfId="0" applyFont="1" applyAlignment="1">
      <alignment horizontal="right"/>
    </xf>
    <xf numFmtId="0" fontId="12" fillId="0" borderId="16" xfId="0" applyFont="1" applyBorder="1" applyAlignment="1" applyProtection="1">
      <alignment horizontal="center" shrinkToFit="1"/>
      <protection locked="0"/>
    </xf>
    <xf numFmtId="0" fontId="12" fillId="0" borderId="16" xfId="0" applyFont="1" applyBorder="1" applyAlignment="1" applyProtection="1">
      <alignment horizontal="center"/>
      <protection locked="0"/>
    </xf>
    <xf numFmtId="0" fontId="0" fillId="25" borderId="14" xfId="0" applyFill="1" applyBorder="1" applyAlignment="1">
      <alignment horizontal="center"/>
    </xf>
    <xf numFmtId="0" fontId="55" fillId="0" borderId="0" xfId="0" applyFont="1"/>
    <xf numFmtId="0" fontId="1" fillId="25" borderId="14" xfId="0" applyFont="1" applyFill="1" applyBorder="1"/>
    <xf numFmtId="0" fontId="1" fillId="25" borderId="14" xfId="0" applyFont="1" applyFill="1" applyBorder="1" applyAlignment="1">
      <alignment horizontal="center"/>
    </xf>
    <xf numFmtId="0" fontId="0" fillId="25" borderId="14" xfId="0" applyFill="1" applyBorder="1"/>
    <xf numFmtId="0" fontId="7" fillId="22" borderId="0" xfId="0" applyFont="1" applyFill="1"/>
    <xf numFmtId="168" fontId="12" fillId="0" borderId="16" xfId="0" applyNumberFormat="1" applyFont="1" applyBorder="1" applyAlignment="1" applyProtection="1">
      <alignment horizontal="left" vertical="center" indent="1" shrinkToFit="1"/>
      <protection locked="0"/>
    </xf>
    <xf numFmtId="0" fontId="1" fillId="0" borderId="0" xfId="0" applyFont="1" applyAlignment="1">
      <alignment horizontal="left" wrapText="1"/>
    </xf>
    <xf numFmtId="0" fontId="3" fillId="27" borderId="17" xfId="0" applyFont="1" applyFill="1" applyBorder="1" applyAlignment="1" applyProtection="1">
      <alignment horizontal="left"/>
      <protection locked="0"/>
    </xf>
    <xf numFmtId="14" fontId="52" fillId="27" borderId="17" xfId="0" applyNumberFormat="1" applyFont="1" applyFill="1" applyBorder="1" applyAlignment="1">
      <alignment horizontal="right" shrinkToFit="1"/>
    </xf>
    <xf numFmtId="1" fontId="52" fillId="27" borderId="17" xfId="0" applyNumberFormat="1" applyFont="1" applyFill="1" applyBorder="1" applyAlignment="1">
      <alignment horizontal="center"/>
    </xf>
    <xf numFmtId="1" fontId="34" fillId="27" borderId="17" xfId="0" applyNumberFormat="1" applyFont="1" applyFill="1" applyBorder="1" applyAlignment="1">
      <alignment horizontal="center"/>
    </xf>
    <xf numFmtId="0" fontId="12" fillId="27" borderId="17" xfId="0" applyFont="1" applyFill="1" applyBorder="1" applyAlignment="1">
      <alignment horizontal="center" vertical="center"/>
    </xf>
    <xf numFmtId="0" fontId="1" fillId="27" borderId="17" xfId="0" applyFont="1" applyFill="1" applyBorder="1"/>
    <xf numFmtId="0" fontId="12" fillId="27" borderId="17" xfId="0" applyFont="1" applyFill="1" applyBorder="1"/>
    <xf numFmtId="0" fontId="3" fillId="27" borderId="18" xfId="0" applyFont="1" applyFill="1" applyBorder="1" applyAlignment="1" applyProtection="1">
      <alignment horizontal="left"/>
      <protection locked="0"/>
    </xf>
    <xf numFmtId="14" fontId="52" fillId="27" borderId="18" xfId="0" applyNumberFormat="1" applyFont="1" applyFill="1" applyBorder="1" applyAlignment="1">
      <alignment horizontal="right" shrinkToFit="1"/>
    </xf>
    <xf numFmtId="1" fontId="52" fillId="27" borderId="18" xfId="0" applyNumberFormat="1" applyFont="1" applyFill="1" applyBorder="1" applyAlignment="1">
      <alignment horizontal="center"/>
    </xf>
    <xf numFmtId="1" fontId="34" fillId="27" borderId="18" xfId="0" applyNumberFormat="1" applyFont="1" applyFill="1" applyBorder="1" applyAlignment="1">
      <alignment horizontal="center"/>
    </xf>
    <xf numFmtId="0" fontId="12" fillId="27" borderId="18" xfId="0" applyFont="1" applyFill="1" applyBorder="1" applyAlignment="1">
      <alignment horizontal="center" vertical="center"/>
    </xf>
    <xf numFmtId="0" fontId="54" fillId="27" borderId="18" xfId="0" applyFont="1" applyFill="1" applyBorder="1" applyAlignment="1">
      <alignment horizontal="left"/>
    </xf>
    <xf numFmtId="0" fontId="56" fillId="0" borderId="0" xfId="0" applyFont="1" applyAlignment="1">
      <alignment horizontal="right"/>
    </xf>
    <xf numFmtId="0" fontId="57" fillId="0" borderId="0" xfId="0" applyFont="1"/>
    <xf numFmtId="0" fontId="54" fillId="27" borderId="18" xfId="0" applyFont="1" applyFill="1" applyBorder="1"/>
    <xf numFmtId="0" fontId="3" fillId="27" borderId="18" xfId="0" applyFont="1" applyFill="1" applyBorder="1"/>
    <xf numFmtId="0" fontId="3" fillId="27" borderId="18" xfId="0" applyFont="1" applyFill="1" applyBorder="1" applyAlignment="1">
      <alignment horizontal="right"/>
    </xf>
    <xf numFmtId="0" fontId="3" fillId="27" borderId="18" xfId="0" applyFont="1" applyFill="1" applyBorder="1" applyAlignment="1">
      <alignment horizontal="center" shrinkToFit="1"/>
    </xf>
    <xf numFmtId="165" fontId="3" fillId="27" borderId="18" xfId="0" applyNumberFormat="1" applyFont="1" applyFill="1" applyBorder="1" applyAlignment="1">
      <alignment horizontal="right" shrinkToFit="1"/>
    </xf>
    <xf numFmtId="1" fontId="3" fillId="27" borderId="18" xfId="0" applyNumberFormat="1" applyFont="1" applyFill="1" applyBorder="1" applyAlignment="1">
      <alignment horizontal="center"/>
    </xf>
    <xf numFmtId="1" fontId="3" fillId="27" borderId="18" xfId="40" applyNumberFormat="1" applyFont="1" applyFill="1" applyBorder="1" applyAlignment="1" applyProtection="1">
      <alignment horizontal="center"/>
    </xf>
    <xf numFmtId="9" fontId="3" fillId="27" borderId="18" xfId="40" applyFont="1" applyFill="1" applyBorder="1" applyAlignment="1" applyProtection="1">
      <alignment horizontal="center"/>
    </xf>
    <xf numFmtId="0" fontId="3" fillId="25" borderId="17" xfId="0" applyFont="1" applyFill="1" applyBorder="1"/>
    <xf numFmtId="0" fontId="3" fillId="25" borderId="17" xfId="0" applyFont="1" applyFill="1" applyBorder="1" applyAlignment="1">
      <alignment horizontal="right"/>
    </xf>
    <xf numFmtId="0" fontId="52" fillId="26" borderId="17" xfId="0" applyFont="1" applyFill="1" applyBorder="1" applyAlignment="1">
      <alignment horizontal="center" shrinkToFit="1"/>
    </xf>
    <xf numFmtId="165" fontId="52" fillId="26" borderId="17" xfId="0" applyNumberFormat="1" applyFont="1" applyFill="1" applyBorder="1" applyAlignment="1">
      <alignment horizontal="right" shrinkToFit="1"/>
    </xf>
    <xf numFmtId="165" fontId="52" fillId="25" borderId="17" xfId="0" applyNumberFormat="1" applyFont="1" applyFill="1" applyBorder="1" applyAlignment="1">
      <alignment horizontal="right" shrinkToFit="1"/>
    </xf>
    <xf numFmtId="1" fontId="52" fillId="25" borderId="17" xfId="0" applyNumberFormat="1" applyFont="1" applyFill="1" applyBorder="1" applyAlignment="1">
      <alignment horizontal="center"/>
    </xf>
    <xf numFmtId="9" fontId="52" fillId="26" borderId="17" xfId="40" applyFont="1" applyFill="1" applyBorder="1" applyAlignment="1" applyProtection="1">
      <alignment horizontal="center"/>
    </xf>
    <xf numFmtId="0" fontId="3" fillId="25" borderId="17" xfId="0" applyFont="1" applyFill="1" applyBorder="1" applyAlignment="1">
      <alignment horizontal="center"/>
    </xf>
    <xf numFmtId="0" fontId="54" fillId="27" borderId="17" xfId="0" applyFont="1" applyFill="1" applyBorder="1"/>
    <xf numFmtId="0" fontId="3" fillId="27" borderId="17" xfId="0" applyFont="1" applyFill="1" applyBorder="1"/>
    <xf numFmtId="0" fontId="3" fillId="27" borderId="17" xfId="0" applyFont="1" applyFill="1" applyBorder="1" applyAlignment="1">
      <alignment horizontal="right"/>
    </xf>
    <xf numFmtId="0" fontId="52" fillId="27" borderId="17" xfId="0" applyFont="1" applyFill="1" applyBorder="1" applyAlignment="1">
      <alignment horizontal="center" shrinkToFit="1"/>
    </xf>
    <xf numFmtId="165" fontId="52" fillId="27" borderId="17" xfId="0" applyNumberFormat="1" applyFont="1" applyFill="1" applyBorder="1" applyAlignment="1">
      <alignment horizontal="right" shrinkToFit="1"/>
    </xf>
    <xf numFmtId="9" fontId="52" fillId="27" borderId="17" xfId="40" applyFont="1" applyFill="1" applyBorder="1" applyAlignment="1" applyProtection="1">
      <alignment horizontal="center"/>
    </xf>
    <xf numFmtId="0" fontId="3" fillId="27" borderId="17" xfId="0" applyFont="1" applyFill="1" applyBorder="1" applyAlignment="1">
      <alignment horizontal="center"/>
    </xf>
    <xf numFmtId="0" fontId="54" fillId="27" borderId="17" xfId="0" applyFont="1" applyFill="1" applyBorder="1" applyAlignment="1">
      <alignment horizontal="left"/>
    </xf>
    <xf numFmtId="0" fontId="3" fillId="25" borderId="17" xfId="0" applyFont="1" applyFill="1" applyBorder="1" applyAlignment="1">
      <alignment horizontal="left"/>
    </xf>
    <xf numFmtId="165" fontId="3" fillId="26" borderId="17" xfId="0" applyNumberFormat="1" applyFont="1" applyFill="1" applyBorder="1" applyAlignment="1">
      <alignment horizontal="right" shrinkToFit="1"/>
    </xf>
    <xf numFmtId="165" fontId="3" fillId="25" borderId="17" xfId="0" applyNumberFormat="1" applyFont="1" applyFill="1" applyBorder="1" applyAlignment="1">
      <alignment horizontal="right" shrinkToFit="1"/>
    </xf>
    <xf numFmtId="1" fontId="3" fillId="25" borderId="17" xfId="0" applyNumberFormat="1" applyFont="1" applyFill="1" applyBorder="1" applyAlignment="1">
      <alignment horizontal="center"/>
    </xf>
    <xf numFmtId="1" fontId="3" fillId="25" borderId="17" xfId="40" applyNumberFormat="1" applyFont="1" applyFill="1" applyBorder="1" applyAlignment="1" applyProtection="1">
      <alignment horizontal="center"/>
    </xf>
    <xf numFmtId="9" fontId="3" fillId="26" borderId="17" xfId="40" applyFont="1" applyFill="1" applyBorder="1" applyAlignment="1" applyProtection="1">
      <alignment horizontal="center"/>
    </xf>
    <xf numFmtId="0" fontId="3" fillId="0" borderId="0" xfId="0" applyFont="1" applyAlignment="1">
      <alignment horizontal="left" wrapText="1"/>
    </xf>
    <xf numFmtId="0" fontId="3" fillId="0" borderId="19" xfId="0" applyFont="1" applyBorder="1" applyAlignment="1">
      <alignment horizontal="left"/>
    </xf>
    <xf numFmtId="0" fontId="12" fillId="0" borderId="0" xfId="0" applyFont="1" applyAlignment="1">
      <alignment horizontal="center"/>
    </xf>
    <xf numFmtId="0" fontId="12" fillId="0" borderId="19" xfId="0" applyFont="1" applyBorder="1" applyAlignment="1">
      <alignment horizontal="center"/>
    </xf>
    <xf numFmtId="0" fontId="3" fillId="0" borderId="0" xfId="0" applyFont="1" applyAlignment="1">
      <alignment horizontal="center" wrapText="1"/>
    </xf>
    <xf numFmtId="0" fontId="3" fillId="0" borderId="19" xfId="0" applyFont="1" applyBorder="1" applyAlignment="1">
      <alignment horizontal="center" wrapText="1"/>
    </xf>
    <xf numFmtId="0" fontId="12" fillId="0" borderId="0" xfId="0" applyFont="1" applyAlignment="1">
      <alignment horizontal="left"/>
    </xf>
    <xf numFmtId="0" fontId="12" fillId="0" borderId="19" xfId="0" applyFont="1" applyBorder="1" applyAlignment="1">
      <alignment horizontal="left"/>
    </xf>
    <xf numFmtId="0" fontId="12" fillId="0" borderId="0" xfId="0" applyFont="1" applyAlignment="1">
      <alignment horizontal="left" wrapText="1"/>
    </xf>
    <xf numFmtId="0" fontId="12" fillId="0" borderId="19" xfId="0" applyFont="1" applyBorder="1" applyAlignment="1">
      <alignment horizontal="left" wrapText="1"/>
    </xf>
    <xf numFmtId="0" fontId="12" fillId="0" borderId="0" xfId="0" applyFont="1" applyAlignment="1">
      <alignment horizontal="center" wrapText="1"/>
    </xf>
    <xf numFmtId="0" fontId="12" fillId="0" borderId="19" xfId="0" applyFont="1" applyBorder="1" applyAlignment="1">
      <alignment horizontal="center" wrapText="1"/>
    </xf>
    <xf numFmtId="0" fontId="12" fillId="0" borderId="11" xfId="0" applyFont="1" applyBorder="1" applyAlignment="1">
      <alignment horizontal="left" vertical="center"/>
    </xf>
    <xf numFmtId="167" fontId="12" fillId="0" borderId="11" xfId="0" applyNumberFormat="1" applyFont="1" applyBorder="1" applyAlignment="1">
      <alignment horizontal="left" vertical="center"/>
    </xf>
    <xf numFmtId="0" fontId="3" fillId="0" borderId="0" xfId="0" applyFont="1" applyAlignment="1">
      <alignment horizontal="center"/>
    </xf>
    <xf numFmtId="0" fontId="3" fillId="0" borderId="19" xfId="0" applyFont="1" applyBorder="1" applyAlignment="1">
      <alignment horizontal="center"/>
    </xf>
    <xf numFmtId="0" fontId="3" fillId="0" borderId="0" xfId="0" applyFont="1" applyAlignment="1">
      <alignment horizontal="center" shrinkToFit="1"/>
    </xf>
    <xf numFmtId="0" fontId="3" fillId="0" borderId="19" xfId="0" applyFont="1" applyBorder="1" applyAlignment="1">
      <alignment horizontal="center" shrinkToFit="1"/>
    </xf>
    <xf numFmtId="0" fontId="51" fillId="0" borderId="0" xfId="0" applyFont="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27">
    <dxf>
      <border>
        <left style="thin">
          <color theme="0" tint="-0.14996795556505021"/>
        </left>
      </border>
    </dxf>
    <dxf>
      <border>
        <left/>
        <right/>
        <vertical/>
        <horizontal/>
      </border>
    </dxf>
    <dxf>
      <fill>
        <patternFill>
          <bgColor theme="2" tint="-0.499984740745262"/>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4" tint="0.39994506668294322"/>
        </patternFill>
      </fill>
    </dxf>
    <dxf>
      <fill>
        <patternFill>
          <bgColor rgb="FFC00000"/>
        </patternFill>
      </fill>
    </dxf>
    <dxf>
      <fill>
        <patternFill>
          <bgColor rgb="FFFFC000"/>
        </patternFill>
      </fill>
    </dxf>
    <dxf>
      <fill>
        <patternFill>
          <bgColor rgb="FFFFFF00"/>
        </patternFill>
      </fill>
    </dxf>
    <dxf>
      <fill>
        <patternFill>
          <bgColor rgb="FF7030A0"/>
        </patternFill>
      </fill>
    </dxf>
    <dxf>
      <fill>
        <patternFill>
          <bgColor rgb="FF00B050"/>
        </patternFill>
      </fill>
    </dxf>
    <dxf>
      <fill>
        <patternFill>
          <bgColor theme="0" tint="-0.499984740745262"/>
        </patternFill>
      </fill>
    </dxf>
    <dxf>
      <fill>
        <patternFill>
          <bgColor theme="1"/>
        </patternFill>
      </fill>
    </dxf>
    <dxf>
      <fill>
        <patternFill>
          <bgColor rgb="FF0070C0"/>
        </patternFill>
      </fill>
    </dxf>
    <dxf>
      <border>
        <left style="thin">
          <color rgb="FFC00000"/>
        </left>
        <right style="thin">
          <color rgb="FFC00000"/>
        </right>
        <vertical/>
        <horizontal/>
      </border>
    </dxf>
    <dxf>
      <font>
        <color theme="0"/>
      </font>
      <fill>
        <patternFill>
          <bgColor theme="5"/>
        </patternFill>
      </fill>
    </dxf>
    <dxf>
      <fill>
        <patternFill>
          <bgColor rgb="FFEAEAEA"/>
        </patternFill>
      </fill>
    </dxf>
    <dxf>
      <font>
        <b val="0"/>
        <i val="0"/>
        <color rgb="FFC00000"/>
      </font>
    </dxf>
    <dxf>
      <font>
        <b/>
        <i val="0"/>
        <color rgb="FFC00000"/>
      </font>
    </dxf>
    <dxf>
      <numFmt numFmtId="169" formatCode="&quot;  &quot;@"/>
    </dxf>
    <dxf>
      <numFmt numFmtId="170" formatCode="&quot;    &quot;@"/>
    </dxf>
    <dxf>
      <numFmt numFmtId="171" formatCode="&quot;      &quot;@"/>
    </dxf>
    <dxf>
      <numFmt numFmtId="172" formatCode="&quot;        &quot;@"/>
    </dxf>
    <dxf>
      <numFmt numFmtId="173" formatCode="[$-809]ddd\ d/mm/yy"/>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BAE0BD"/>
      <color rgb="FFEAEAEA"/>
      <color rgb="FFB4DEB7"/>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Scroll" dx="22" fmlaLink="$N$5" horiz="1" max="52" min="1" page="1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17</xdr:col>
          <xdr:colOff>0</xdr:colOff>
          <xdr:row>1</xdr:row>
          <xdr:rowOff>0</xdr:rowOff>
        </xdr:from>
        <xdr:to>
          <xdr:col>33</xdr:col>
          <xdr:colOff>0</xdr:colOff>
          <xdr:row>2</xdr:row>
          <xdr:rowOff>0</xdr:rowOff>
        </xdr:to>
        <xdr:sp macro="" textlink="">
          <xdr:nvSpPr>
            <xdr:cNvPr id="8270" name="Scroll Bar 78" hidden="1">
              <a:extLst>
                <a:ext uri="{63B3BB69-23CF-44E3-9099-C40C66FF867C}">
                  <a14:compatExt spid="_x0000_s8270"/>
                </a:ext>
                <a:ext uri="{FF2B5EF4-FFF2-40B4-BE49-F238E27FC236}">
                  <a16:creationId xmlns:a16="http://schemas.microsoft.com/office/drawing/2014/main" id="{00000000-0008-0000-0000-00004E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4053840</xdr:colOff>
      <xdr:row>0</xdr:row>
      <xdr:rowOff>7620</xdr:rowOff>
    </xdr:from>
    <xdr:to>
      <xdr:col>1</xdr:col>
      <xdr:colOff>5444490</xdr:colOff>
      <xdr:row>0</xdr:row>
      <xdr:rowOff>350520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99660" y="7620"/>
          <a:ext cx="1524000" cy="342900"/>
        </a:xfrm>
        <a:prstGeom prst="rect">
          <a:avLst/>
        </a:prstGeom>
      </xdr:spPr>
    </xdr:pic>
    <xdr:clientData/>
  </xdr:twoCellAnchor>
  <xdr:twoCellAnchor editAs="oneCell">
    <xdr:from>
      <xdr:col>1</xdr:col>
      <xdr:colOff>2575560</xdr:colOff>
      <xdr:row>87</xdr:row>
      <xdr:rowOff>22860</xdr:rowOff>
    </xdr:from>
    <xdr:to>
      <xdr:col>1</xdr:col>
      <xdr:colOff>4412139</xdr:colOff>
      <xdr:row>90</xdr:row>
      <xdr:rowOff>45766</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a:stretch>
          <a:fillRect/>
        </a:stretch>
      </xdr:blipFill>
      <xdr:spPr>
        <a:xfrm>
          <a:off x="3169920" y="7307580"/>
          <a:ext cx="1836579" cy="525826"/>
        </a:xfrm>
        <a:prstGeom prst="rect">
          <a:avLst/>
        </a:prstGeom>
        <a:ln>
          <a:solidFill>
            <a:schemeClr val="bg1">
              <a:lumMod val="75000"/>
            </a:schemeClr>
          </a:solidFill>
        </a:ln>
        <a:effectLst>
          <a:outerShdw blurRad="50800" dist="38100" dir="2700000" algn="tl" rotWithShape="0">
            <a:prstClr val="black">
              <a:alpha val="40000"/>
            </a:prst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3400425</xdr:colOff>
      <xdr:row>0</xdr:row>
      <xdr:rowOff>0</xdr:rowOff>
    </xdr:from>
    <xdr:to>
      <xdr:col>2</xdr:col>
      <xdr:colOff>0</xdr:colOff>
      <xdr:row>0</xdr:row>
      <xdr:rowOff>342900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9525" y="0"/>
          <a:ext cx="1524000" cy="342900"/>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vertex42.com/ExcelTemplates/gantt-chart-template-pro.html" TargetMode="External"/><Relationship Id="rId1" Type="http://schemas.openxmlformats.org/officeDocument/2006/relationships/hyperlink" Target="https://www.vertex42.com/support.html"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censing/EULA_privateuse.html"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V93"/>
  <sheetViews>
    <sheetView showGridLines="0" tabSelected="1" zoomScale="115" zoomScaleNormal="115" workbookViewId="0">
      <pane ySplit="8" topLeftCell="A9" activePane="bottomLeft" state="frozen"/>
      <selection pane="bottomLeft" activeCell="O95" sqref="O95"/>
    </sheetView>
  </sheetViews>
  <sheetFormatPr defaultColWidth="9.1328125" defaultRowHeight="12.75" outlineLevelRow="1" x14ac:dyDescent="0.35"/>
  <cols>
    <col min="1" max="1" width="4.53125" customWidth="1"/>
    <col min="2" max="2" width="5.46484375" customWidth="1"/>
    <col min="3" max="3" width="25.53125" customWidth="1"/>
    <col min="4" max="4" width="6.46484375" hidden="1" customWidth="1"/>
    <col min="5" max="5" width="6.73046875" hidden="1" customWidth="1"/>
    <col min="6" max="6" width="5.73046875" hidden="1" customWidth="1"/>
    <col min="7" max="8" width="10" hidden="1" customWidth="1"/>
    <col min="9" max="10" width="4.73046875" hidden="1" customWidth="1"/>
    <col min="11" max="11" width="5.53125" hidden="1" customWidth="1"/>
    <col min="12" max="12" width="4.73046875" customWidth="1"/>
    <col min="13" max="14" width="9.53125" customWidth="1"/>
    <col min="15" max="16" width="5.46484375" customWidth="1"/>
    <col min="17" max="73" width="2.46484375" customWidth="1"/>
    <col min="74" max="74" width="2.73046875" style="9" customWidth="1"/>
  </cols>
  <sheetData>
    <row r="1" spans="1:74" ht="17.25" x14ac:dyDescent="0.35">
      <c r="B1" s="60" t="s">
        <v>254</v>
      </c>
      <c r="C1" s="61"/>
      <c r="D1" s="61"/>
      <c r="E1" s="61"/>
      <c r="F1" s="61"/>
      <c r="G1" s="61"/>
      <c r="H1" s="61"/>
      <c r="I1" s="61"/>
      <c r="J1" s="61"/>
      <c r="K1" s="61"/>
      <c r="L1" s="61"/>
      <c r="M1" s="61"/>
      <c r="N1" s="61"/>
      <c r="O1" s="61"/>
      <c r="P1" s="61"/>
      <c r="Q1" s="61"/>
      <c r="R1" s="63" t="s">
        <v>142</v>
      </c>
    </row>
    <row r="2" spans="1:74" x14ac:dyDescent="0.35">
      <c r="B2" s="64" t="s">
        <v>255</v>
      </c>
      <c r="C2" s="64"/>
      <c r="D2" s="64"/>
      <c r="E2" s="64"/>
      <c r="F2" s="4"/>
      <c r="G2" s="4"/>
      <c r="H2" s="4"/>
      <c r="I2" s="4"/>
      <c r="J2" s="4"/>
      <c r="K2" s="1"/>
      <c r="M2" s="62"/>
      <c r="N2" s="62"/>
    </row>
    <row r="3" spans="1:74" x14ac:dyDescent="0.35">
      <c r="B3" s="9"/>
      <c r="M3" s="62"/>
      <c r="N3" s="62"/>
    </row>
    <row r="4" spans="1:74" x14ac:dyDescent="0.35">
      <c r="A4" s="84"/>
      <c r="B4" s="87" t="s">
        <v>143</v>
      </c>
      <c r="C4" s="97">
        <v>42370</v>
      </c>
      <c r="M4" s="88" t="s">
        <v>144</v>
      </c>
      <c r="N4" s="89" t="s">
        <v>340</v>
      </c>
      <c r="R4" s="3">
        <f>IF(N4="Monthly",EDATE(DATE(YEAR(C4),MONTH(C4),1),N5-1),C4-WEEKDAY(C4,1)+startday+7*(N5-1))</f>
        <v>42366</v>
      </c>
      <c r="S4" s="3">
        <f t="shared" ref="S4:AX4" si="0">IF($N$4="Monthly",EDATE(R4,1),IF($N$4="Daily",R4+1,R4+7))</f>
        <v>42373</v>
      </c>
      <c r="T4" s="3">
        <f t="shared" si="0"/>
        <v>42380</v>
      </c>
      <c r="U4" s="3">
        <f t="shared" si="0"/>
        <v>42387</v>
      </c>
      <c r="V4" s="3">
        <f t="shared" si="0"/>
        <v>42394</v>
      </c>
      <c r="W4" s="3">
        <f t="shared" si="0"/>
        <v>42401</v>
      </c>
      <c r="X4" s="3">
        <f t="shared" si="0"/>
        <v>42408</v>
      </c>
      <c r="Y4" s="3">
        <f t="shared" si="0"/>
        <v>42415</v>
      </c>
      <c r="Z4" s="3">
        <f t="shared" si="0"/>
        <v>42422</v>
      </c>
      <c r="AA4" s="3">
        <f t="shared" si="0"/>
        <v>42429</v>
      </c>
      <c r="AB4" s="3">
        <f t="shared" si="0"/>
        <v>42436</v>
      </c>
      <c r="AC4" s="3">
        <f t="shared" si="0"/>
        <v>42443</v>
      </c>
      <c r="AD4" s="3">
        <f t="shared" si="0"/>
        <v>42450</v>
      </c>
      <c r="AE4" s="3">
        <f t="shared" si="0"/>
        <v>42457</v>
      </c>
      <c r="AF4" s="3">
        <f t="shared" si="0"/>
        <v>42464</v>
      </c>
      <c r="AG4" s="3">
        <f t="shared" si="0"/>
        <v>42471</v>
      </c>
      <c r="AH4" s="3">
        <f t="shared" si="0"/>
        <v>42478</v>
      </c>
      <c r="AI4" s="3">
        <f t="shared" si="0"/>
        <v>42485</v>
      </c>
      <c r="AJ4" s="3">
        <f t="shared" si="0"/>
        <v>42492</v>
      </c>
      <c r="AK4" s="3">
        <f t="shared" si="0"/>
        <v>42499</v>
      </c>
      <c r="AL4" s="3">
        <f t="shared" si="0"/>
        <v>42506</v>
      </c>
      <c r="AM4" s="3">
        <f t="shared" si="0"/>
        <v>42513</v>
      </c>
      <c r="AN4" s="3">
        <f t="shared" si="0"/>
        <v>42520</v>
      </c>
      <c r="AO4" s="3">
        <f t="shared" si="0"/>
        <v>42527</v>
      </c>
      <c r="AP4" s="3">
        <f t="shared" si="0"/>
        <v>42534</v>
      </c>
      <c r="AQ4" s="3">
        <f t="shared" si="0"/>
        <v>42541</v>
      </c>
      <c r="AR4" s="3">
        <f t="shared" si="0"/>
        <v>42548</v>
      </c>
      <c r="AS4" s="3">
        <f t="shared" si="0"/>
        <v>42555</v>
      </c>
      <c r="AT4" s="3">
        <f t="shared" si="0"/>
        <v>42562</v>
      </c>
      <c r="AU4" s="3">
        <f t="shared" si="0"/>
        <v>42569</v>
      </c>
      <c r="AV4" s="3">
        <f t="shared" si="0"/>
        <v>42576</v>
      </c>
      <c r="AW4" s="3">
        <f t="shared" si="0"/>
        <v>42583</v>
      </c>
      <c r="AX4" s="3">
        <f t="shared" si="0"/>
        <v>42590</v>
      </c>
      <c r="AY4" s="3">
        <f t="shared" ref="AY4:BU4" si="1">IF($N$4="Monthly",EDATE(AX4,1),IF($N$4="Daily",AX4+1,AX4+7))</f>
        <v>42597</v>
      </c>
      <c r="AZ4" s="3">
        <f t="shared" si="1"/>
        <v>42604</v>
      </c>
      <c r="BA4" s="3">
        <f t="shared" si="1"/>
        <v>42611</v>
      </c>
      <c r="BB4" s="3">
        <f t="shared" si="1"/>
        <v>42618</v>
      </c>
      <c r="BC4" s="3">
        <f t="shared" si="1"/>
        <v>42625</v>
      </c>
      <c r="BD4" s="3">
        <f t="shared" si="1"/>
        <v>42632</v>
      </c>
      <c r="BE4" s="3">
        <f t="shared" si="1"/>
        <v>42639</v>
      </c>
      <c r="BF4" s="3">
        <f t="shared" si="1"/>
        <v>42646</v>
      </c>
      <c r="BG4" s="3">
        <f t="shared" si="1"/>
        <v>42653</v>
      </c>
      <c r="BH4" s="3">
        <f t="shared" si="1"/>
        <v>42660</v>
      </c>
      <c r="BI4" s="3">
        <f t="shared" si="1"/>
        <v>42667</v>
      </c>
      <c r="BJ4" s="3">
        <f t="shared" si="1"/>
        <v>42674</v>
      </c>
      <c r="BK4" s="3">
        <f t="shared" si="1"/>
        <v>42681</v>
      </c>
      <c r="BL4" s="3">
        <f t="shared" si="1"/>
        <v>42688</v>
      </c>
      <c r="BM4" s="3">
        <f t="shared" si="1"/>
        <v>42695</v>
      </c>
      <c r="BN4" s="3">
        <f t="shared" si="1"/>
        <v>42702</v>
      </c>
      <c r="BO4" s="3">
        <f t="shared" si="1"/>
        <v>42709</v>
      </c>
      <c r="BP4" s="3">
        <f t="shared" si="1"/>
        <v>42716</v>
      </c>
      <c r="BQ4" s="3">
        <f t="shared" si="1"/>
        <v>42723</v>
      </c>
      <c r="BR4" s="3">
        <f t="shared" si="1"/>
        <v>42730</v>
      </c>
      <c r="BS4" s="3">
        <f t="shared" si="1"/>
        <v>42737</v>
      </c>
      <c r="BT4" s="3">
        <f t="shared" si="1"/>
        <v>42744</v>
      </c>
      <c r="BU4" s="3">
        <f t="shared" si="1"/>
        <v>42751</v>
      </c>
      <c r="BV4" s="3">
        <f>IF($N$4="Monthly",EDATE(BU4,1),IF($N$4="Daily",BU4+1,BU4+7))</f>
        <v>42758</v>
      </c>
    </row>
    <row r="5" spans="1:74" x14ac:dyDescent="0.35">
      <c r="A5" s="84"/>
      <c r="B5" s="87" t="s">
        <v>180</v>
      </c>
      <c r="C5" s="97">
        <f ca="1">MAX(N7:N92)</f>
        <v>42614</v>
      </c>
      <c r="M5" s="88" t="str">
        <f>IF(N4="Monthly","Month:","Week:")</f>
        <v>Week:</v>
      </c>
      <c r="N5" s="90">
        <v>1</v>
      </c>
      <c r="R5" s="156" t="str">
        <f>IF($N$4="Monthly",IF(YEAR(R4)&lt;&gt;YEAR(X4),YEAR(R4)&amp;"-"&amp;YEAR(X4),YEAR(R4)),IF($N$4="Weekly","Weeks "&amp;((R4-($C$4-WEEKDAY($C$4,1)+startday))/7+1)&amp;"-"&amp;((R4-($C$4-WEEKDAY($C$4,1)+startday))/7+7),"Week "&amp;(R4-($C$4-WEEKDAY($C$4,1)+startday))/7+1))</f>
        <v>Weeks 1-7</v>
      </c>
      <c r="S5" s="156"/>
      <c r="T5" s="156"/>
      <c r="U5" s="156"/>
      <c r="V5" s="156"/>
      <c r="W5" s="156"/>
      <c r="X5" s="156"/>
      <c r="Y5" s="156" t="str">
        <f>IF($N$4="Monthly",IF(YEAR(Y4)&lt;&gt;YEAR(AE4),YEAR(Y4)&amp;"-"&amp;YEAR(AE4),YEAR(Y4)),IF($N$4="Weekly","Weeks "&amp;((Y4-($C$4-WEEKDAY($C$4,1)+startday))/7+1)&amp;"-"&amp;((Y4-($C$4-WEEKDAY($C$4,1)+startday))/7+7),"Week "&amp;(Y4-($C$4-WEEKDAY($C$4,1)+startday))/7+1))</f>
        <v>Weeks 8-14</v>
      </c>
      <c r="Z5" s="156"/>
      <c r="AA5" s="156"/>
      <c r="AB5" s="156"/>
      <c r="AC5" s="156"/>
      <c r="AD5" s="156"/>
      <c r="AE5" s="156"/>
      <c r="AF5" s="156" t="str">
        <f>IF($N$4="Monthly",IF(YEAR(AF4)&lt;&gt;YEAR(AL4),YEAR(AF4)&amp;"-"&amp;YEAR(AL4),YEAR(AF4)),IF($N$4="Weekly","Weeks "&amp;((AF4-($C$4-WEEKDAY($C$4,1)+startday))/7+1)&amp;"-"&amp;((AF4-($C$4-WEEKDAY($C$4,1)+startday))/7+7),"Week "&amp;(AF4-($C$4-WEEKDAY($C$4,1)+startday))/7+1))</f>
        <v>Weeks 15-21</v>
      </c>
      <c r="AG5" s="156"/>
      <c r="AH5" s="156"/>
      <c r="AI5" s="156"/>
      <c r="AJ5" s="156"/>
      <c r="AK5" s="156"/>
      <c r="AL5" s="156"/>
      <c r="AM5" s="156" t="str">
        <f>IF($N$4="Monthly",IF(YEAR(AM4)&lt;&gt;YEAR(AS4),YEAR(AM4)&amp;"-"&amp;YEAR(AS4),YEAR(AM4)),IF($N$4="Weekly","Weeks "&amp;((AM4-($C$4-WEEKDAY($C$4,1)+startday))/7+1)&amp;"-"&amp;((AM4-($C$4-WEEKDAY($C$4,1)+startday))/7+7),"Week "&amp;(AM4-($C$4-WEEKDAY($C$4,1)+startday))/7+1))</f>
        <v>Weeks 22-28</v>
      </c>
      <c r="AN5" s="156"/>
      <c r="AO5" s="156"/>
      <c r="AP5" s="156"/>
      <c r="AQ5" s="156"/>
      <c r="AR5" s="156"/>
      <c r="AS5" s="156"/>
      <c r="AT5" s="156" t="str">
        <f>IF($N$4="Monthly",IF(YEAR(AT4)&lt;&gt;YEAR(AZ4),YEAR(AT4)&amp;"-"&amp;YEAR(AZ4),YEAR(AT4)),IF($N$4="Weekly","Weeks "&amp;((AT4-($C$4-WEEKDAY($C$4,1)+startday))/7+1)&amp;"-"&amp;((AT4-($C$4-WEEKDAY($C$4,1)+startday))/7+7),"Week "&amp;(AT4-($C$4-WEEKDAY($C$4,1)+startday))/7+1))</f>
        <v>Weeks 29-35</v>
      </c>
      <c r="AU5" s="156"/>
      <c r="AV5" s="156"/>
      <c r="AW5" s="156"/>
      <c r="AX5" s="156"/>
      <c r="AY5" s="156"/>
      <c r="AZ5" s="156"/>
      <c r="BA5" s="156" t="str">
        <f>IF($N$4="Monthly",IF(YEAR(BA4)&lt;&gt;YEAR(BG4),YEAR(BA4)&amp;"-"&amp;YEAR(BG4),YEAR(BA4)),IF($N$4="Weekly","Weeks "&amp;((BA4-($C$4-WEEKDAY($C$4,1)+startday))/7+1)&amp;"-"&amp;((BA4-($C$4-WEEKDAY($C$4,1)+startday))/7+7),"Week "&amp;(BA4-($C$4-WEEKDAY($C$4,1)+startday))/7+1))</f>
        <v>Weeks 36-42</v>
      </c>
      <c r="BB5" s="156"/>
      <c r="BC5" s="156"/>
      <c r="BD5" s="156"/>
      <c r="BE5" s="156"/>
      <c r="BF5" s="156"/>
      <c r="BG5" s="156"/>
      <c r="BH5" s="156" t="str">
        <f>IF($N$4="Monthly",IF(YEAR(BH4)&lt;&gt;YEAR(BN4),YEAR(BH4)&amp;"-"&amp;YEAR(BN4),YEAR(BH4)),IF($N$4="Weekly","Weeks "&amp;((BH4-($C$4-WEEKDAY($C$4,1)+startday))/7+1)&amp;"-"&amp;((BH4-($C$4-WEEKDAY($C$4,1)+startday))/7+7),"Week "&amp;(BH4-($C$4-WEEKDAY($C$4,1)+startday))/7+1))</f>
        <v>Weeks 43-49</v>
      </c>
      <c r="BI5" s="156"/>
      <c r="BJ5" s="156"/>
      <c r="BK5" s="156"/>
      <c r="BL5" s="156"/>
      <c r="BM5" s="156"/>
      <c r="BN5" s="156"/>
      <c r="BO5" s="156" t="str">
        <f>IF($N$4="Monthly",IF(YEAR(BO4)&lt;&gt;YEAR(BU4),YEAR(BO4)&amp;"-"&amp;YEAR(BU4),YEAR(BO4)),IF($N$4="Weekly","Weeks "&amp;((BO4-($C$4-WEEKDAY($C$4,1)+startday))/7+1)&amp;"-"&amp;((BO4-($C$4-WEEKDAY($C$4,1)+startday))/7+7),"Week "&amp;(BO4-($C$4-WEEKDAY($C$4,1)+startday))/7+1))</f>
        <v>Weeks 50-56</v>
      </c>
      <c r="BP5" s="156"/>
      <c r="BQ5" s="156"/>
      <c r="BR5" s="156"/>
      <c r="BS5" s="156"/>
      <c r="BT5" s="156"/>
      <c r="BU5" s="156"/>
    </row>
    <row r="6" spans="1:74" x14ac:dyDescent="0.35">
      <c r="C6" s="112" t="s">
        <v>253</v>
      </c>
      <c r="D6" s="113"/>
      <c r="E6" s="113"/>
      <c r="F6" s="113"/>
      <c r="G6" s="113"/>
      <c r="H6" s="113"/>
      <c r="I6" s="113"/>
      <c r="J6" s="113"/>
      <c r="K6" s="113"/>
      <c r="L6" s="113"/>
      <c r="M6" s="113" t="s">
        <v>252</v>
      </c>
      <c r="R6" s="157" t="str">
        <f>IF($N$4="Monthly",TEXT(R4,"[$-409]mmmm")&amp;" - "&amp;TEXT(X4,"[$-409]mmmm"),IF($N$4="Weekly",TEXT(R4,"[$-409]mmm YYYY")&amp;" - "&amp;TEXT(X4,"[$-409]mmm YYYY"),R4))</f>
        <v>Dec 2015 - Feb 2016</v>
      </c>
      <c r="S6" s="157"/>
      <c r="T6" s="157"/>
      <c r="U6" s="157"/>
      <c r="V6" s="157"/>
      <c r="W6" s="157"/>
      <c r="X6" s="157"/>
      <c r="Y6" s="157" t="str">
        <f>IF($N$4="Monthly",TEXT(Y4,"[$-409]mmmm")&amp;" - "&amp;TEXT(AE4,"[$-409]mmmm"),IF($N$4="Weekly",TEXT(Y4,"[$-409]mmm YYYY")&amp;" - "&amp;TEXT(AE4,"[$-409]mmm YYYY"),Y4))</f>
        <v>Feb 2016 - Mar 2016</v>
      </c>
      <c r="Z6" s="157"/>
      <c r="AA6" s="157"/>
      <c r="AB6" s="157"/>
      <c r="AC6" s="157"/>
      <c r="AD6" s="157"/>
      <c r="AE6" s="157"/>
      <c r="AF6" s="157" t="str">
        <f>IF($N$4="Monthly",TEXT(AF4,"[$-409]mmmm")&amp;" - "&amp;TEXT(AL4,"[$-409]mmmm"),IF($N$4="Weekly",TEXT(AF4,"[$-409]mmm YYYY")&amp;" - "&amp;TEXT(AL4,"[$-409]mmm YYYY"),AF4))</f>
        <v>Apr 2016 - May 2016</v>
      </c>
      <c r="AG6" s="157"/>
      <c r="AH6" s="157"/>
      <c r="AI6" s="157"/>
      <c r="AJ6" s="157"/>
      <c r="AK6" s="157"/>
      <c r="AL6" s="157"/>
      <c r="AM6" s="157" t="str">
        <f>IF($N$4="Monthly",TEXT(AM4,"[$-409]mmmm")&amp;" - "&amp;TEXT(AS4,"[$-409]mmmm"),IF($N$4="Weekly",TEXT(AM4,"[$-409]mmm YYYY")&amp;" - "&amp;TEXT(AS4,"[$-409]mmm YYYY"),AM4))</f>
        <v>May 2016 - Jul 2016</v>
      </c>
      <c r="AN6" s="157"/>
      <c r="AO6" s="157"/>
      <c r="AP6" s="157"/>
      <c r="AQ6" s="157"/>
      <c r="AR6" s="157"/>
      <c r="AS6" s="157"/>
      <c r="AT6" s="157" t="str">
        <f>IF($N$4="Monthly",TEXT(AT4,"[$-409]mmmm")&amp;" - "&amp;TEXT(AZ4,"[$-409]mmmm"),IF($N$4="Weekly",TEXT(AT4,"[$-409]mmm YYYY")&amp;" - "&amp;TEXT(AZ4,"[$-409]mmm YYYY"),AT4))</f>
        <v>Jul 2016 - Aug 2016</v>
      </c>
      <c r="AU6" s="157"/>
      <c r="AV6" s="157"/>
      <c r="AW6" s="157"/>
      <c r="AX6" s="157"/>
      <c r="AY6" s="157"/>
      <c r="AZ6" s="157"/>
      <c r="BA6" s="157" t="str">
        <f>IF($N$4="Monthly",TEXT(BA4,"[$-409]mmmm")&amp;" - "&amp;TEXT(BG4,"[$-409]mmmm"),IF($N$4="Weekly",TEXT(BA4,"[$-409]mmm YYYY")&amp;" - "&amp;TEXT(BG4,"[$-409]mmm YYYY"),BA4))</f>
        <v>Aug 2016 - Oct 2016</v>
      </c>
      <c r="BB6" s="157"/>
      <c r="BC6" s="157"/>
      <c r="BD6" s="157"/>
      <c r="BE6" s="157"/>
      <c r="BF6" s="157"/>
      <c r="BG6" s="157"/>
      <c r="BH6" s="157" t="str">
        <f>IF($N$4="Monthly",TEXT(BH4,"[$-409]mmmm")&amp;" - "&amp;TEXT(BN4,"[$-409]mmmm"),IF($N$4="Weekly",TEXT(BH4,"[$-409]mmm YYYY")&amp;" - "&amp;TEXT(BN4,"[$-409]mmm YYYY"),BH4))</f>
        <v>Oct 2016 - Nov 2016</v>
      </c>
      <c r="BI6" s="157"/>
      <c r="BJ6" s="157"/>
      <c r="BK6" s="157"/>
      <c r="BL6" s="157"/>
      <c r="BM6" s="157"/>
      <c r="BN6" s="157"/>
      <c r="BO6" s="157" t="str">
        <f>IF($N$4="Monthly",TEXT(BO4,"[$-409]mmmm")&amp;" - "&amp;TEXT(BU4,"[$-409]mmmm"),IF($N$4="Weekly",TEXT(BO4,"[$-409]mmm YYYY")&amp;" - "&amp;TEXT(BU4,"[$-409]mmm YYYY"),BO4))</f>
        <v>Dec 2016 - Jan 2017</v>
      </c>
      <c r="BP6" s="157"/>
      <c r="BQ6" s="157"/>
      <c r="BR6" s="157"/>
      <c r="BS6" s="157"/>
      <c r="BT6" s="157"/>
      <c r="BU6" s="157"/>
    </row>
    <row r="7" spans="1:74" x14ac:dyDescent="0.35">
      <c r="A7" s="144" t="s">
        <v>155</v>
      </c>
      <c r="B7" s="150" t="s">
        <v>0</v>
      </c>
      <c r="C7" s="150" t="s">
        <v>10</v>
      </c>
      <c r="D7" s="152" t="s">
        <v>7</v>
      </c>
      <c r="E7" s="154" t="s">
        <v>123</v>
      </c>
      <c r="F7" s="148" t="s">
        <v>30</v>
      </c>
      <c r="G7" s="146" t="s">
        <v>1</v>
      </c>
      <c r="H7" s="146" t="s">
        <v>2</v>
      </c>
      <c r="I7" s="148" t="s">
        <v>6</v>
      </c>
      <c r="J7" s="148" t="s">
        <v>80</v>
      </c>
      <c r="K7" s="148" t="s">
        <v>29</v>
      </c>
      <c r="L7" s="160" t="s">
        <v>79</v>
      </c>
      <c r="M7" s="158" t="s">
        <v>1</v>
      </c>
      <c r="N7" s="158" t="s">
        <v>2</v>
      </c>
      <c r="O7" s="148" t="s">
        <v>6</v>
      </c>
      <c r="P7" s="148" t="s">
        <v>80</v>
      </c>
      <c r="Q7" s="69"/>
      <c r="R7" s="59" t="str">
        <f t="shared" ref="R7:AW7" si="2">IF($N$4="Daily",R4,"")</f>
        <v/>
      </c>
      <c r="S7" s="59" t="str">
        <f t="shared" si="2"/>
        <v/>
      </c>
      <c r="T7" s="59" t="str">
        <f t="shared" si="2"/>
        <v/>
      </c>
      <c r="U7" s="59" t="str">
        <f t="shared" si="2"/>
        <v/>
      </c>
      <c r="V7" s="59" t="str">
        <f t="shared" si="2"/>
        <v/>
      </c>
      <c r="W7" s="59" t="str">
        <f t="shared" si="2"/>
        <v/>
      </c>
      <c r="X7" s="59" t="str">
        <f t="shared" si="2"/>
        <v/>
      </c>
      <c r="Y7" s="59" t="str">
        <f t="shared" si="2"/>
        <v/>
      </c>
      <c r="Z7" s="59" t="str">
        <f t="shared" si="2"/>
        <v/>
      </c>
      <c r="AA7" s="59" t="str">
        <f t="shared" si="2"/>
        <v/>
      </c>
      <c r="AB7" s="59" t="str">
        <f t="shared" si="2"/>
        <v/>
      </c>
      <c r="AC7" s="59" t="str">
        <f t="shared" si="2"/>
        <v/>
      </c>
      <c r="AD7" s="59" t="str">
        <f t="shared" si="2"/>
        <v/>
      </c>
      <c r="AE7" s="59" t="str">
        <f t="shared" si="2"/>
        <v/>
      </c>
      <c r="AF7" s="59" t="str">
        <f t="shared" si="2"/>
        <v/>
      </c>
      <c r="AG7" s="59" t="str">
        <f t="shared" si="2"/>
        <v/>
      </c>
      <c r="AH7" s="59" t="str">
        <f t="shared" si="2"/>
        <v/>
      </c>
      <c r="AI7" s="59" t="str">
        <f t="shared" si="2"/>
        <v/>
      </c>
      <c r="AJ7" s="59" t="str">
        <f t="shared" si="2"/>
        <v/>
      </c>
      <c r="AK7" s="59" t="str">
        <f t="shared" si="2"/>
        <v/>
      </c>
      <c r="AL7" s="59" t="str">
        <f t="shared" si="2"/>
        <v/>
      </c>
      <c r="AM7" s="59" t="str">
        <f t="shared" si="2"/>
        <v/>
      </c>
      <c r="AN7" s="59" t="str">
        <f t="shared" si="2"/>
        <v/>
      </c>
      <c r="AO7" s="59" t="str">
        <f t="shared" si="2"/>
        <v/>
      </c>
      <c r="AP7" s="59" t="str">
        <f t="shared" si="2"/>
        <v/>
      </c>
      <c r="AQ7" s="59" t="str">
        <f t="shared" si="2"/>
        <v/>
      </c>
      <c r="AR7" s="59" t="str">
        <f t="shared" si="2"/>
        <v/>
      </c>
      <c r="AS7" s="59" t="str">
        <f t="shared" si="2"/>
        <v/>
      </c>
      <c r="AT7" s="59" t="str">
        <f t="shared" si="2"/>
        <v/>
      </c>
      <c r="AU7" s="59" t="str">
        <f t="shared" si="2"/>
        <v/>
      </c>
      <c r="AV7" s="59" t="str">
        <f t="shared" si="2"/>
        <v/>
      </c>
      <c r="AW7" s="59" t="str">
        <f t="shared" si="2"/>
        <v/>
      </c>
      <c r="AX7" s="59" t="str">
        <f t="shared" ref="AX7:BU7" si="3">IF($N$4="Daily",AX4,"")</f>
        <v/>
      </c>
      <c r="AY7" s="59" t="str">
        <f t="shared" si="3"/>
        <v/>
      </c>
      <c r="AZ7" s="59" t="str">
        <f t="shared" si="3"/>
        <v/>
      </c>
      <c r="BA7" s="59" t="str">
        <f t="shared" si="3"/>
        <v/>
      </c>
      <c r="BB7" s="59" t="str">
        <f t="shared" si="3"/>
        <v/>
      </c>
      <c r="BC7" s="59" t="str">
        <f t="shared" si="3"/>
        <v/>
      </c>
      <c r="BD7" s="59" t="str">
        <f t="shared" si="3"/>
        <v/>
      </c>
      <c r="BE7" s="59" t="str">
        <f t="shared" si="3"/>
        <v/>
      </c>
      <c r="BF7" s="59" t="str">
        <f t="shared" si="3"/>
        <v/>
      </c>
      <c r="BG7" s="59" t="str">
        <f t="shared" si="3"/>
        <v/>
      </c>
      <c r="BH7" s="59" t="str">
        <f t="shared" si="3"/>
        <v/>
      </c>
      <c r="BI7" s="59" t="str">
        <f t="shared" si="3"/>
        <v/>
      </c>
      <c r="BJ7" s="59" t="str">
        <f t="shared" si="3"/>
        <v/>
      </c>
      <c r="BK7" s="59" t="str">
        <f t="shared" si="3"/>
        <v/>
      </c>
      <c r="BL7" s="59" t="str">
        <f t="shared" si="3"/>
        <v/>
      </c>
      <c r="BM7" s="59" t="str">
        <f t="shared" si="3"/>
        <v/>
      </c>
      <c r="BN7" s="59" t="str">
        <f t="shared" si="3"/>
        <v/>
      </c>
      <c r="BO7" s="59" t="str">
        <f t="shared" si="3"/>
        <v/>
      </c>
      <c r="BP7" s="59" t="str">
        <f t="shared" si="3"/>
        <v/>
      </c>
      <c r="BQ7" s="59" t="str">
        <f t="shared" si="3"/>
        <v/>
      </c>
      <c r="BR7" s="59" t="str">
        <f t="shared" si="3"/>
        <v/>
      </c>
      <c r="BS7" s="59" t="str">
        <f t="shared" si="3"/>
        <v/>
      </c>
      <c r="BT7" s="59" t="str">
        <f t="shared" si="3"/>
        <v/>
      </c>
      <c r="BU7" s="59" t="str">
        <f t="shared" si="3"/>
        <v/>
      </c>
    </row>
    <row r="8" spans="1:74" x14ac:dyDescent="0.35">
      <c r="A8" s="145"/>
      <c r="B8" s="151"/>
      <c r="C8" s="151"/>
      <c r="D8" s="153"/>
      <c r="E8" s="155"/>
      <c r="F8" s="149"/>
      <c r="G8" s="147"/>
      <c r="H8" s="147"/>
      <c r="I8" s="149"/>
      <c r="J8" s="149"/>
      <c r="K8" s="149"/>
      <c r="L8" s="161"/>
      <c r="M8" s="159"/>
      <c r="N8" s="159"/>
      <c r="O8" s="149"/>
      <c r="P8" s="149"/>
      <c r="Q8" s="81"/>
      <c r="R8" s="82">
        <f t="shared" ref="R8:AW8" si="4">IF($N$4="Monthly",CHOOSE(MONTH(R4),"Ja","F","Mr","Ap","M","Ju","Jy","Au","S","O","N","D"),IF($N$4="Weekly",DAY(R4),CHOOSE(WEEKDAY(R4,1),"S","M","T","W","T","F","S")))</f>
        <v>28</v>
      </c>
      <c r="S8" s="82">
        <f t="shared" si="4"/>
        <v>4</v>
      </c>
      <c r="T8" s="82">
        <f t="shared" si="4"/>
        <v>11</v>
      </c>
      <c r="U8" s="82">
        <f t="shared" si="4"/>
        <v>18</v>
      </c>
      <c r="V8" s="82">
        <f t="shared" si="4"/>
        <v>25</v>
      </c>
      <c r="W8" s="82">
        <f t="shared" si="4"/>
        <v>1</v>
      </c>
      <c r="X8" s="82">
        <f t="shared" si="4"/>
        <v>8</v>
      </c>
      <c r="Y8" s="82">
        <f t="shared" si="4"/>
        <v>15</v>
      </c>
      <c r="Z8" s="82">
        <f t="shared" si="4"/>
        <v>22</v>
      </c>
      <c r="AA8" s="82">
        <f t="shared" si="4"/>
        <v>29</v>
      </c>
      <c r="AB8" s="82">
        <f t="shared" si="4"/>
        <v>7</v>
      </c>
      <c r="AC8" s="82">
        <f t="shared" si="4"/>
        <v>14</v>
      </c>
      <c r="AD8" s="82">
        <f t="shared" si="4"/>
        <v>21</v>
      </c>
      <c r="AE8" s="82">
        <f t="shared" si="4"/>
        <v>28</v>
      </c>
      <c r="AF8" s="82">
        <f t="shared" si="4"/>
        <v>4</v>
      </c>
      <c r="AG8" s="82">
        <f t="shared" si="4"/>
        <v>11</v>
      </c>
      <c r="AH8" s="82">
        <f t="shared" si="4"/>
        <v>18</v>
      </c>
      <c r="AI8" s="82">
        <f t="shared" si="4"/>
        <v>25</v>
      </c>
      <c r="AJ8" s="82">
        <f t="shared" si="4"/>
        <v>2</v>
      </c>
      <c r="AK8" s="82">
        <f t="shared" si="4"/>
        <v>9</v>
      </c>
      <c r="AL8" s="82">
        <f t="shared" si="4"/>
        <v>16</v>
      </c>
      <c r="AM8" s="82">
        <f t="shared" si="4"/>
        <v>23</v>
      </c>
      <c r="AN8" s="82">
        <f t="shared" si="4"/>
        <v>30</v>
      </c>
      <c r="AO8" s="82">
        <f t="shared" si="4"/>
        <v>6</v>
      </c>
      <c r="AP8" s="82">
        <f t="shared" si="4"/>
        <v>13</v>
      </c>
      <c r="AQ8" s="82">
        <f t="shared" si="4"/>
        <v>20</v>
      </c>
      <c r="AR8" s="82">
        <f t="shared" si="4"/>
        <v>27</v>
      </c>
      <c r="AS8" s="82">
        <f t="shared" si="4"/>
        <v>4</v>
      </c>
      <c r="AT8" s="82">
        <f t="shared" si="4"/>
        <v>11</v>
      </c>
      <c r="AU8" s="82">
        <f t="shared" si="4"/>
        <v>18</v>
      </c>
      <c r="AV8" s="82">
        <f t="shared" si="4"/>
        <v>25</v>
      </c>
      <c r="AW8" s="82">
        <f t="shared" si="4"/>
        <v>1</v>
      </c>
      <c r="AX8" s="82">
        <f t="shared" ref="AX8:BU8" si="5">IF($N$4="Monthly",CHOOSE(MONTH(AX4),"Ja","F","Mr","Ap","M","Ju","Jy","Au","S","O","N","D"),IF($N$4="Weekly",DAY(AX4),CHOOSE(WEEKDAY(AX4,1),"S","M","T","W","T","F","S")))</f>
        <v>8</v>
      </c>
      <c r="AY8" s="82">
        <f t="shared" si="5"/>
        <v>15</v>
      </c>
      <c r="AZ8" s="82">
        <f t="shared" si="5"/>
        <v>22</v>
      </c>
      <c r="BA8" s="82">
        <f t="shared" si="5"/>
        <v>29</v>
      </c>
      <c r="BB8" s="82">
        <f t="shared" si="5"/>
        <v>5</v>
      </c>
      <c r="BC8" s="82">
        <f t="shared" si="5"/>
        <v>12</v>
      </c>
      <c r="BD8" s="82">
        <f t="shared" si="5"/>
        <v>19</v>
      </c>
      <c r="BE8" s="82">
        <f t="shared" si="5"/>
        <v>26</v>
      </c>
      <c r="BF8" s="82">
        <f t="shared" si="5"/>
        <v>3</v>
      </c>
      <c r="BG8" s="82">
        <f t="shared" si="5"/>
        <v>10</v>
      </c>
      <c r="BH8" s="82">
        <f t="shared" si="5"/>
        <v>17</v>
      </c>
      <c r="BI8" s="82">
        <f t="shared" si="5"/>
        <v>24</v>
      </c>
      <c r="BJ8" s="82">
        <f t="shared" si="5"/>
        <v>31</v>
      </c>
      <c r="BK8" s="82">
        <f t="shared" si="5"/>
        <v>7</v>
      </c>
      <c r="BL8" s="82">
        <f t="shared" si="5"/>
        <v>14</v>
      </c>
      <c r="BM8" s="82">
        <f t="shared" si="5"/>
        <v>21</v>
      </c>
      <c r="BN8" s="82">
        <f t="shared" si="5"/>
        <v>28</v>
      </c>
      <c r="BO8" s="82">
        <f t="shared" si="5"/>
        <v>5</v>
      </c>
      <c r="BP8" s="82">
        <f t="shared" si="5"/>
        <v>12</v>
      </c>
      <c r="BQ8" s="82">
        <f t="shared" si="5"/>
        <v>19</v>
      </c>
      <c r="BR8" s="82">
        <f t="shared" si="5"/>
        <v>26</v>
      </c>
      <c r="BS8" s="82">
        <f t="shared" si="5"/>
        <v>2</v>
      </c>
      <c r="BT8" s="82">
        <f t="shared" si="5"/>
        <v>9</v>
      </c>
      <c r="BU8" s="82">
        <f t="shared" si="5"/>
        <v>16</v>
      </c>
    </row>
    <row r="9" spans="1:74" s="105" customFormat="1" x14ac:dyDescent="0.35">
      <c r="A9" s="106">
        <v>1</v>
      </c>
      <c r="B9" s="111" t="str">
        <f ca="1">IF(A9="","",IF(A9&gt;OFFSET(A9,-1,0,1,1),IF(OFFSET(B9,-1,0,1,1)="","1",OFFSET(B9,-1,0,1,1))&amp;REPT(".1",A9-MAX(OFFSET(A9,-1,0,1,1),1)),IF(ISERROR(FIND(".",OFFSET(B9,-1,0,1,1))),REPT("1.",A9-1)&amp;IFERROR(VALUE(OFFSET(B9,-1,0,1,1))+1,"1"),IF(A9=1,"",IFERROR(LEFT(OFFSET(B9,-1,0,1,1),FIND("^",SUBSTITUTE(OFFSET(B9,-1,0,1,1),".","^",A9-1))),""))&amp;VALUE(TRIM(MID(SUBSTITUTE(OFFSET(B9,-1,0,1,1),".",REPT(" ",LEN(OFFSET(B9,-1,0,1,1)))),(A9-1)*LEN(OFFSET(B9,-1,0,1,1))+1,LEN(OFFSET(B9,-1,0,1,1)))))+1)))</f>
        <v>1</v>
      </c>
      <c r="C9" s="114" t="s">
        <v>256</v>
      </c>
      <c r="D9" s="115"/>
      <c r="E9" s="116"/>
      <c r="F9" s="117"/>
      <c r="G9" s="118">
        <f>MIN(M10:M13)</f>
        <v>42370</v>
      </c>
      <c r="H9" s="118">
        <f>MAX(N10:N13)</f>
        <v>42383</v>
      </c>
      <c r="I9" s="119"/>
      <c r="J9" s="120"/>
      <c r="K9" s="121"/>
      <c r="L9" s="120" t="s">
        <v>28</v>
      </c>
      <c r="M9" s="100">
        <f t="shared" ref="M9:M40" si="6">IF(G9&lt;&gt;"",G9,IF(F9&lt;&gt;"",IFERROR(WORKDAY.INTL(INDEX(N:N,MATCH(F9,B:B,0)),1,weekend,holidays)," - "),IF(H9&lt;&gt;"",IF(I9&lt;&gt;"",WORKDAY.INTL(H9,-(MAX(I9,1)-1),weekend,holidays),H9-(MAX(J9,1)-1))," - ")))</f>
        <v>42370</v>
      </c>
      <c r="N9" s="107">
        <f t="shared" ref="N9:N31" si="7">IF(H9&lt;&gt;"",H9,IF(M9=" - "," - ",IF(I9&lt;&gt;"",WORKDAY.INTL(M9,I9-1,weekend,holidays),M9+MAX(J9,1)-1)))</f>
        <v>42383</v>
      </c>
      <c r="O9" s="108">
        <v>9</v>
      </c>
      <c r="P9" s="108">
        <f>IF(J9&lt;&gt;"",J9,IF(OR(NOT(ISNUMBER(M9)),NOT(ISNUMBER(N9)))," - ",N9-M9+1))</f>
        <v>14</v>
      </c>
      <c r="Q9" s="109"/>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04"/>
    </row>
    <row r="10" spans="1:74" s="68" customFormat="1" hidden="1" outlineLevel="1" x14ac:dyDescent="0.35">
      <c r="A10" s="86">
        <v>2</v>
      </c>
      <c r="B10" s="80" t="str">
        <f t="shared" ref="B10:B38" ca="1" si="8">IF(A10="","",IF(A10&gt;OFFSET(A10,-1,0,1,1),IF(OFFSET(B10,-1,0,1,1)="","1",OFFSET(B10,-1,0,1,1))&amp;REPT(".1",A10-MAX(OFFSET(A10,-1,0,1,1),1)),IF(ISERROR(FIND(".",OFFSET(B10,-1,0,1,1))),REPT("1.",A10-1)&amp;IFERROR(VALUE(OFFSET(B10,-1,0,1,1))+1,"1"),IF(A10=1,"",IFERROR(LEFT(OFFSET(B10,-1,0,1,1),FIND("^",SUBSTITUTE(OFFSET(B10,-1,0,1,1),".","^",A10-1))),""))&amp;VALUE(TRIM(MID(SUBSTITUTE(OFFSET(B10,-1,0,1,1),".",REPT(" ",LEN(OFFSET(B10,-1,0,1,1)))),(A10-1)*LEN(OFFSET(B10,-1,0,1,1))+1,LEN(OFFSET(B10,-1,0,1,1)))))+1)))</f>
        <v>1.1</v>
      </c>
      <c r="C10" s="122" t="s">
        <v>257</v>
      </c>
      <c r="D10" s="122"/>
      <c r="E10" s="123"/>
      <c r="F10" s="124"/>
      <c r="G10" s="125">
        <f>$C$4</f>
        <v>42370</v>
      </c>
      <c r="H10" s="126"/>
      <c r="I10" s="127">
        <v>10</v>
      </c>
      <c r="J10" s="127"/>
      <c r="K10" s="128"/>
      <c r="L10" s="129"/>
      <c r="M10" s="83">
        <f t="shared" si="6"/>
        <v>42370</v>
      </c>
      <c r="N10" s="83">
        <f t="shared" si="7"/>
        <v>42383</v>
      </c>
      <c r="O10" s="85">
        <f t="shared" ref="O10:O31" si="9">IF(I10&lt;&gt;"",I10,IF(OR(NOT(ISNUMBER(M10)),NOT(ISNUMBER(N10)))," - ",NETWORKDAYS.INTL(M10,N10,weekend,holidays)))</f>
        <v>10</v>
      </c>
      <c r="P10" s="85">
        <f t="shared" ref="P10:P31" si="10">IF(J10&lt;&gt;"",J10,IF(OR(NOT(ISNUMBER(M10)),NOT(ISNUMBER(N10)))," - ",N10-M10+1))</f>
        <v>14</v>
      </c>
      <c r="Q10" s="65"/>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7"/>
    </row>
    <row r="11" spans="1:74" s="68" customFormat="1" hidden="1" outlineLevel="1" x14ac:dyDescent="0.35">
      <c r="A11" s="86">
        <v>2</v>
      </c>
      <c r="B11" s="80" t="str">
        <f t="shared" ca="1" si="8"/>
        <v>1.2</v>
      </c>
      <c r="C11" s="122" t="s">
        <v>258</v>
      </c>
      <c r="D11" s="122"/>
      <c r="E11" s="123"/>
      <c r="F11" s="124"/>
      <c r="G11" s="125">
        <f>$C$4</f>
        <v>42370</v>
      </c>
      <c r="H11" s="126"/>
      <c r="I11" s="127">
        <v>10</v>
      </c>
      <c r="J11" s="127"/>
      <c r="K11" s="128"/>
      <c r="L11" s="129"/>
      <c r="M11" s="83">
        <f t="shared" si="6"/>
        <v>42370</v>
      </c>
      <c r="N11" s="83">
        <f t="shared" si="7"/>
        <v>42383</v>
      </c>
      <c r="O11" s="85">
        <f t="shared" si="9"/>
        <v>10</v>
      </c>
      <c r="P11" s="85">
        <f t="shared" si="10"/>
        <v>14</v>
      </c>
      <c r="Q11" s="65"/>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7"/>
    </row>
    <row r="12" spans="1:74" s="68" customFormat="1" hidden="1" outlineLevel="1" x14ac:dyDescent="0.35">
      <c r="A12" s="86">
        <v>2</v>
      </c>
      <c r="B12" s="80" t="str">
        <f t="shared" ca="1" si="8"/>
        <v>1.3</v>
      </c>
      <c r="C12" s="122" t="s">
        <v>259</v>
      </c>
      <c r="D12" s="122"/>
      <c r="E12" s="123"/>
      <c r="F12" s="124"/>
      <c r="G12" s="125">
        <f>$C$4</f>
        <v>42370</v>
      </c>
      <c r="H12" s="126"/>
      <c r="I12" s="127">
        <v>10</v>
      </c>
      <c r="J12" s="127"/>
      <c r="K12" s="128"/>
      <c r="L12" s="129"/>
      <c r="M12" s="83">
        <f t="shared" si="6"/>
        <v>42370</v>
      </c>
      <c r="N12" s="83">
        <f t="shared" si="7"/>
        <v>42383</v>
      </c>
      <c r="O12" s="85">
        <f t="shared" si="9"/>
        <v>10</v>
      </c>
      <c r="P12" s="85">
        <f t="shared" si="10"/>
        <v>14</v>
      </c>
      <c r="Q12" s="65"/>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7"/>
    </row>
    <row r="13" spans="1:74" s="68" customFormat="1" hidden="1" outlineLevel="1" x14ac:dyDescent="0.35">
      <c r="A13" s="86">
        <v>2</v>
      </c>
      <c r="B13" s="80" t="str">
        <f t="shared" ca="1" si="8"/>
        <v>1.4</v>
      </c>
      <c r="C13" s="122" t="s">
        <v>260</v>
      </c>
      <c r="D13" s="122"/>
      <c r="E13" s="123"/>
      <c r="F13" s="124"/>
      <c r="G13" s="125">
        <f>$C$4</f>
        <v>42370</v>
      </c>
      <c r="H13" s="126"/>
      <c r="I13" s="127">
        <v>10</v>
      </c>
      <c r="J13" s="127"/>
      <c r="K13" s="128"/>
      <c r="L13" s="129"/>
      <c r="M13" s="83">
        <f t="shared" si="6"/>
        <v>42370</v>
      </c>
      <c r="N13" s="83">
        <f t="shared" ref="N13" si="11">IF(H13&lt;&gt;"",H13,IF(M13=" - "," - ",IF(I13&lt;&gt;"",WORKDAY.INTL(M13,I13-1,weekend,holidays),M13+MAX(J13,1)-1)))</f>
        <v>42383</v>
      </c>
      <c r="O13" s="85">
        <f t="shared" ref="O13" si="12">IF(I13&lt;&gt;"",I13,IF(OR(NOT(ISNUMBER(M13)),NOT(ISNUMBER(N13)))," - ",NETWORKDAYS.INTL(M13,N13,weekend,holidays)))</f>
        <v>10</v>
      </c>
      <c r="P13" s="85">
        <f t="shared" ref="P13" si="13">IF(J13&lt;&gt;"",J13,IF(OR(NOT(ISNUMBER(M13)),NOT(ISNUMBER(N13)))," - ",N13-M13+1))</f>
        <v>14</v>
      </c>
      <c r="Q13" s="65"/>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7"/>
    </row>
    <row r="14" spans="1:74" s="105" customFormat="1" collapsed="1" x14ac:dyDescent="0.35">
      <c r="A14" s="99">
        <v>1</v>
      </c>
      <c r="B14" s="111" t="str">
        <f t="shared" ca="1" si="8"/>
        <v>2</v>
      </c>
      <c r="C14" s="130" t="s">
        <v>261</v>
      </c>
      <c r="D14" s="131"/>
      <c r="E14" s="132"/>
      <c r="F14" s="133"/>
      <c r="G14" s="134">
        <f ca="1">MIN(M15:M16)</f>
        <v>42384</v>
      </c>
      <c r="H14" s="134">
        <f ca="1">MAX(N15:N16)</f>
        <v>42412</v>
      </c>
      <c r="I14" s="101"/>
      <c r="J14" s="101"/>
      <c r="K14" s="135"/>
      <c r="L14" s="136" t="s">
        <v>28</v>
      </c>
      <c r="M14" s="100">
        <f t="shared" ca="1" si="6"/>
        <v>42384</v>
      </c>
      <c r="N14" s="100">
        <f ca="1">IF(H14&lt;&gt;"",H14,IF(M14=" - "," - ",IF(I14&lt;&gt;"",WORKDAY.INTL(M14,I14-1,weekend,holidays),M14+MAX(J14,1)-1)))</f>
        <v>42412</v>
      </c>
      <c r="O14" s="101">
        <f ca="1">IF(I14&lt;&gt;"",I14,IF(OR(NOT(ISNUMBER(M14)),NOT(ISNUMBER(N14)))," - ",NETWORKDAYS.INTL(M14,N14,weekend,holidays)))</f>
        <v>20</v>
      </c>
      <c r="P14" s="101">
        <f ca="1">IF(J14&lt;&gt;"",J14,IF(OR(NOT(ISNUMBER(M14)),NOT(ISNUMBER(N14)))," - ",N14-M14+1))</f>
        <v>29</v>
      </c>
      <c r="Q14" s="102"/>
      <c r="R14" s="103"/>
      <c r="S14" s="103"/>
      <c r="T14" s="103"/>
      <c r="U14" s="103"/>
      <c r="V14" s="103"/>
      <c r="W14" s="103"/>
      <c r="X14" s="103"/>
      <c r="Y14" s="103"/>
      <c r="Z14" s="103"/>
      <c r="AA14" s="103"/>
      <c r="AB14" s="103"/>
      <c r="AC14" s="103"/>
      <c r="AD14" s="103"/>
      <c r="AE14" s="103"/>
      <c r="AF14" s="103"/>
      <c r="AG14" s="103"/>
      <c r="AH14" s="103"/>
      <c r="AI14" s="103"/>
      <c r="AJ14" s="103"/>
      <c r="AK14" s="103"/>
      <c r="AL14" s="103"/>
      <c r="AM14" s="103"/>
      <c r="AN14" s="103"/>
      <c r="AO14" s="103"/>
      <c r="AP14" s="103"/>
      <c r="AQ14" s="103"/>
      <c r="AR14" s="103"/>
      <c r="AS14" s="103"/>
      <c r="AT14" s="103"/>
      <c r="AU14" s="103"/>
      <c r="AV14" s="103"/>
      <c r="AW14" s="103"/>
      <c r="AX14" s="103"/>
      <c r="AY14" s="103"/>
      <c r="AZ14" s="103"/>
      <c r="BA14" s="103"/>
      <c r="BB14" s="103"/>
      <c r="BC14" s="103"/>
      <c r="BD14" s="103"/>
      <c r="BE14" s="103"/>
      <c r="BF14" s="103"/>
      <c r="BG14" s="103"/>
      <c r="BH14" s="103"/>
      <c r="BI14" s="103"/>
      <c r="BJ14" s="103"/>
      <c r="BK14" s="103"/>
      <c r="BL14" s="103"/>
      <c r="BM14" s="103"/>
      <c r="BN14" s="103"/>
      <c r="BO14" s="103"/>
      <c r="BP14" s="103"/>
      <c r="BQ14" s="103"/>
      <c r="BR14" s="103"/>
      <c r="BS14" s="103"/>
      <c r="BT14" s="103"/>
      <c r="BU14" s="103"/>
      <c r="BV14" s="104"/>
    </row>
    <row r="15" spans="1:74" s="68" customFormat="1" hidden="1" outlineLevel="1" x14ac:dyDescent="0.35">
      <c r="A15" s="86">
        <v>2</v>
      </c>
      <c r="B15" s="80" t="str">
        <f t="shared" ca="1" si="8"/>
        <v>2.1</v>
      </c>
      <c r="C15" s="122" t="s">
        <v>262</v>
      </c>
      <c r="D15" s="122"/>
      <c r="E15" s="123"/>
      <c r="F15" s="124" t="str">
        <f ca="1">B9</f>
        <v>1</v>
      </c>
      <c r="G15" s="125"/>
      <c r="H15" s="126"/>
      <c r="I15" s="127">
        <v>10</v>
      </c>
      <c r="J15" s="127"/>
      <c r="K15" s="128"/>
      <c r="L15" s="129"/>
      <c r="M15" s="83">
        <f t="shared" ca="1" si="6"/>
        <v>42384</v>
      </c>
      <c r="N15" s="83">
        <f ca="1">IF(H15&lt;&gt;"",H15,IF(M15=" - "," - ",IF(I15&lt;&gt;"",WORKDAY.INTL(M15,I15-1,weekend,holidays),M15+MAX(J15,1)-1)))</f>
        <v>42398</v>
      </c>
      <c r="O15" s="85">
        <f>IF(I15&lt;&gt;"",I15,IF(OR(NOT(ISNUMBER(M15)),NOT(ISNUMBER(N15)))," - ",NETWORKDAYS.INTL(M15,N15,weekend,holidays)))</f>
        <v>10</v>
      </c>
      <c r="P15" s="85">
        <f ca="1">IF(J15&lt;&gt;"",J15,IF(OR(NOT(ISNUMBER(M15)),NOT(ISNUMBER(N15)))," - ",N15-M15+1))</f>
        <v>15</v>
      </c>
      <c r="Q15" s="65"/>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6"/>
      <c r="BP15" s="66"/>
      <c r="BQ15" s="66"/>
      <c r="BR15" s="66"/>
      <c r="BS15" s="66"/>
      <c r="BT15" s="66"/>
      <c r="BU15" s="66"/>
      <c r="BV15" s="67"/>
    </row>
    <row r="16" spans="1:74" s="68" customFormat="1" hidden="1" outlineLevel="1" x14ac:dyDescent="0.35">
      <c r="A16" s="86">
        <v>2</v>
      </c>
      <c r="B16" s="80" t="str">
        <f t="shared" ca="1" si="8"/>
        <v>2.2</v>
      </c>
      <c r="C16" s="122" t="s">
        <v>263</v>
      </c>
      <c r="D16" s="122"/>
      <c r="E16" s="123"/>
      <c r="F16" s="124" t="str">
        <f ca="1">B15</f>
        <v>2.1</v>
      </c>
      <c r="G16" s="125"/>
      <c r="H16" s="126"/>
      <c r="I16" s="127">
        <v>10</v>
      </c>
      <c r="J16" s="127"/>
      <c r="K16" s="128"/>
      <c r="L16" s="129"/>
      <c r="M16" s="83">
        <f t="shared" ca="1" si="6"/>
        <v>42401</v>
      </c>
      <c r="N16" s="83">
        <f ca="1">IF(H16&lt;&gt;"",H16,IF(M16=" - "," - ",IF(I16&lt;&gt;"",WORKDAY.INTL(M16,I16-1,weekend,holidays),M16+MAX(J16,1)-1)))</f>
        <v>42412</v>
      </c>
      <c r="O16" s="85">
        <f>IF(I16&lt;&gt;"",I16,IF(OR(NOT(ISNUMBER(M16)),NOT(ISNUMBER(N16)))," - ",NETWORKDAYS.INTL(M16,N16,weekend,holidays)))</f>
        <v>10</v>
      </c>
      <c r="P16" s="85">
        <f ca="1">IF(J16&lt;&gt;"",J16,IF(OR(NOT(ISNUMBER(M16)),NOT(ISNUMBER(N16)))," - ",N16-M16+1))</f>
        <v>12</v>
      </c>
      <c r="Q16" s="65"/>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7"/>
    </row>
    <row r="17" spans="1:74" s="105" customFormat="1" collapsed="1" x14ac:dyDescent="0.35">
      <c r="A17" s="99">
        <v>1</v>
      </c>
      <c r="B17" s="111" t="str">
        <f t="shared" ca="1" si="8"/>
        <v>3</v>
      </c>
      <c r="C17" s="137" t="s">
        <v>264</v>
      </c>
      <c r="D17" s="131"/>
      <c r="E17" s="132"/>
      <c r="F17" s="133"/>
      <c r="G17" s="134">
        <f ca="1">MIN(M18:M24)</f>
        <v>42416</v>
      </c>
      <c r="H17" s="134">
        <f ca="1">MAX(N18:N24)</f>
        <v>42451</v>
      </c>
      <c r="I17" s="101"/>
      <c r="J17" s="101"/>
      <c r="K17" s="135"/>
      <c r="L17" s="136" t="s">
        <v>28</v>
      </c>
      <c r="M17" s="100">
        <f t="shared" ca="1" si="6"/>
        <v>42416</v>
      </c>
      <c r="N17" s="100">
        <f t="shared" ca="1" si="7"/>
        <v>42451</v>
      </c>
      <c r="O17" s="101">
        <f t="shared" ca="1" si="9"/>
        <v>26</v>
      </c>
      <c r="P17" s="101">
        <f t="shared" ca="1" si="10"/>
        <v>36</v>
      </c>
      <c r="Q17" s="102"/>
      <c r="R17" s="103"/>
      <c r="S17" s="103"/>
      <c r="T17" s="103"/>
      <c r="U17" s="103"/>
      <c r="V17" s="103"/>
      <c r="W17" s="103"/>
      <c r="X17" s="103"/>
      <c r="Y17" s="103"/>
      <c r="Z17" s="103"/>
      <c r="AA17" s="103"/>
      <c r="AB17" s="103"/>
      <c r="AC17" s="103"/>
      <c r="AD17" s="103"/>
      <c r="AE17" s="103"/>
      <c r="AF17" s="103"/>
      <c r="AG17" s="103"/>
      <c r="AH17" s="103"/>
      <c r="AI17" s="103"/>
      <c r="AJ17" s="103"/>
      <c r="AK17" s="103"/>
      <c r="AL17" s="103"/>
      <c r="AM17" s="103"/>
      <c r="AN17" s="103"/>
      <c r="AO17" s="10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c r="BM17" s="103"/>
      <c r="BN17" s="103"/>
      <c r="BO17" s="103"/>
      <c r="BP17" s="103"/>
      <c r="BQ17" s="103"/>
      <c r="BR17" s="103"/>
      <c r="BS17" s="103"/>
      <c r="BT17" s="103"/>
      <c r="BU17" s="103"/>
      <c r="BV17" s="104"/>
    </row>
    <row r="18" spans="1:74" s="68" customFormat="1" hidden="1" outlineLevel="1" x14ac:dyDescent="0.35">
      <c r="A18" s="86">
        <v>2</v>
      </c>
      <c r="B18" s="80" t="str">
        <f t="shared" ca="1" si="8"/>
        <v>3.1</v>
      </c>
      <c r="C18" s="138" t="s">
        <v>265</v>
      </c>
      <c r="D18" s="122"/>
      <c r="E18" s="123"/>
      <c r="F18" s="124" t="str">
        <f ca="1">B14</f>
        <v>2</v>
      </c>
      <c r="G18" s="125"/>
      <c r="H18" s="126"/>
      <c r="I18" s="127">
        <v>1</v>
      </c>
      <c r="J18" s="127"/>
      <c r="K18" s="128"/>
      <c r="L18" s="129"/>
      <c r="M18" s="83">
        <f t="shared" ca="1" si="6"/>
        <v>42416</v>
      </c>
      <c r="N18" s="83">
        <f t="shared" ca="1" si="7"/>
        <v>42416</v>
      </c>
      <c r="O18" s="85">
        <f t="shared" si="9"/>
        <v>1</v>
      </c>
      <c r="P18" s="85">
        <f t="shared" ca="1" si="10"/>
        <v>1</v>
      </c>
      <c r="Q18" s="65"/>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7"/>
    </row>
    <row r="19" spans="1:74" s="68" customFormat="1" hidden="1" outlineLevel="1" x14ac:dyDescent="0.35">
      <c r="A19" s="86">
        <v>2</v>
      </c>
      <c r="B19" s="80" t="str">
        <f t="shared" ca="1" si="8"/>
        <v>3.2</v>
      </c>
      <c r="C19" s="138" t="s">
        <v>266</v>
      </c>
      <c r="D19" s="122"/>
      <c r="E19" s="123"/>
      <c r="F19" s="124" t="str">
        <f ca="1">B18</f>
        <v>3.1</v>
      </c>
      <c r="G19" s="125"/>
      <c r="H19" s="126"/>
      <c r="I19" s="127">
        <v>1</v>
      </c>
      <c r="J19" s="127"/>
      <c r="K19" s="128"/>
      <c r="L19" s="129"/>
      <c r="M19" s="83">
        <f t="shared" ca="1" si="6"/>
        <v>42417</v>
      </c>
      <c r="N19" s="83">
        <f t="shared" ref="N19" ca="1" si="14">IF(H19&lt;&gt;"",H19,IF(M19=" - "," - ",IF(I19&lt;&gt;"",WORKDAY.INTL(M19,I19-1,weekend,holidays),M19+MAX(J19,1)-1)))</f>
        <v>42417</v>
      </c>
      <c r="O19" s="85">
        <f t="shared" ref="O19" si="15">IF(I19&lt;&gt;"",I19,IF(OR(NOT(ISNUMBER(M19)),NOT(ISNUMBER(N19)))," - ",NETWORKDAYS.INTL(M19,N19,weekend,holidays)))</f>
        <v>1</v>
      </c>
      <c r="P19" s="85">
        <f t="shared" ref="P19" ca="1" si="16">IF(J19&lt;&gt;"",J19,IF(OR(NOT(ISNUMBER(M19)),NOT(ISNUMBER(N19)))," - ",N19-M19+1))</f>
        <v>1</v>
      </c>
      <c r="Q19" s="65"/>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7"/>
    </row>
    <row r="20" spans="1:74" s="68" customFormat="1" hidden="1" outlineLevel="1" x14ac:dyDescent="0.35">
      <c r="A20" s="86">
        <v>2</v>
      </c>
      <c r="B20" s="80" t="str">
        <f t="shared" ca="1" si="8"/>
        <v>3.3</v>
      </c>
      <c r="C20" s="122" t="s">
        <v>267</v>
      </c>
      <c r="D20" s="122"/>
      <c r="E20" s="123"/>
      <c r="F20" s="124" t="str">
        <f t="shared" ref="F20:F24" ca="1" si="17">B19</f>
        <v>3.2</v>
      </c>
      <c r="G20" s="125"/>
      <c r="H20" s="126"/>
      <c r="I20" s="127">
        <v>7</v>
      </c>
      <c r="J20" s="127"/>
      <c r="K20" s="128"/>
      <c r="L20" s="129"/>
      <c r="M20" s="83">
        <f t="shared" ca="1" si="6"/>
        <v>42418</v>
      </c>
      <c r="N20" s="83">
        <f t="shared" ref="N20" ca="1" si="18">IF(H20&lt;&gt;"",H20,IF(M20=" - "," - ",IF(I20&lt;&gt;"",WORKDAY.INTL(M20,I20-1,weekend,holidays),M20+MAX(J20,1)-1)))</f>
        <v>42426</v>
      </c>
      <c r="O20" s="85">
        <f t="shared" ref="O20" si="19">IF(I20&lt;&gt;"",I20,IF(OR(NOT(ISNUMBER(M20)),NOT(ISNUMBER(N20)))," - ",NETWORKDAYS.INTL(M20,N20,weekend,holidays)))</f>
        <v>7</v>
      </c>
      <c r="P20" s="85">
        <f t="shared" ref="P20" ca="1" si="20">IF(J20&lt;&gt;"",J20,IF(OR(NOT(ISNUMBER(M20)),NOT(ISNUMBER(N20)))," - ",N20-M20+1))</f>
        <v>9</v>
      </c>
      <c r="Q20" s="65"/>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7"/>
    </row>
    <row r="21" spans="1:74" s="68" customFormat="1" hidden="1" outlineLevel="1" x14ac:dyDescent="0.35">
      <c r="A21" s="86">
        <v>2</v>
      </c>
      <c r="B21" s="80" t="str">
        <f t="shared" ca="1" si="8"/>
        <v>3.4</v>
      </c>
      <c r="C21" s="138" t="s">
        <v>268</v>
      </c>
      <c r="D21" s="122"/>
      <c r="E21" s="123"/>
      <c r="F21" s="124" t="str">
        <f t="shared" ca="1" si="17"/>
        <v>3.3</v>
      </c>
      <c r="G21" s="125"/>
      <c r="H21" s="126"/>
      <c r="I21" s="127">
        <v>3</v>
      </c>
      <c r="J21" s="127"/>
      <c r="K21" s="128"/>
      <c r="L21" s="129"/>
      <c r="M21" s="83">
        <f t="shared" ca="1" si="6"/>
        <v>42429</v>
      </c>
      <c r="N21" s="83">
        <f t="shared" ref="N21" ca="1" si="21">IF(H21&lt;&gt;"",H21,IF(M21=" - "," - ",IF(I21&lt;&gt;"",WORKDAY.INTL(M21,I21-1,weekend,holidays),M21+MAX(J21,1)-1)))</f>
        <v>42431</v>
      </c>
      <c r="O21" s="85">
        <f t="shared" ref="O21" si="22">IF(I21&lt;&gt;"",I21,IF(OR(NOT(ISNUMBER(M21)),NOT(ISNUMBER(N21)))," - ",NETWORKDAYS.INTL(M21,N21,weekend,holidays)))</f>
        <v>3</v>
      </c>
      <c r="P21" s="85">
        <f t="shared" ref="P21" ca="1" si="23">IF(J21&lt;&gt;"",J21,IF(OR(NOT(ISNUMBER(M21)),NOT(ISNUMBER(N21)))," - ",N21-M21+1))</f>
        <v>3</v>
      </c>
      <c r="Q21" s="65"/>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7"/>
    </row>
    <row r="22" spans="1:74" s="68" customFormat="1" hidden="1" outlineLevel="1" x14ac:dyDescent="0.35">
      <c r="A22" s="86">
        <v>2</v>
      </c>
      <c r="B22" s="80" t="str">
        <f t="shared" ca="1" si="8"/>
        <v>3.5</v>
      </c>
      <c r="C22" s="138" t="s">
        <v>269</v>
      </c>
      <c r="D22" s="122"/>
      <c r="E22" s="123"/>
      <c r="F22" s="124" t="str">
        <f t="shared" ca="1" si="17"/>
        <v>3.4</v>
      </c>
      <c r="G22" s="125"/>
      <c r="H22" s="126"/>
      <c r="I22" s="127">
        <v>3</v>
      </c>
      <c r="J22" s="127"/>
      <c r="K22" s="128"/>
      <c r="L22" s="129"/>
      <c r="M22" s="83">
        <f t="shared" ca="1" si="6"/>
        <v>42432</v>
      </c>
      <c r="N22" s="83">
        <f t="shared" ref="N22" ca="1" si="24">IF(H22&lt;&gt;"",H22,IF(M22=" - "," - ",IF(I22&lt;&gt;"",WORKDAY.INTL(M22,I22-1,weekend,holidays),M22+MAX(J22,1)-1)))</f>
        <v>42436</v>
      </c>
      <c r="O22" s="85">
        <f t="shared" ref="O22" si="25">IF(I22&lt;&gt;"",I22,IF(OR(NOT(ISNUMBER(M22)),NOT(ISNUMBER(N22)))," - ",NETWORKDAYS.INTL(M22,N22,weekend,holidays)))</f>
        <v>3</v>
      </c>
      <c r="P22" s="85">
        <f t="shared" ref="P22" ca="1" si="26">IF(J22&lt;&gt;"",J22,IF(OR(NOT(ISNUMBER(M22)),NOT(ISNUMBER(N22)))," - ",N22-M22+1))</f>
        <v>5</v>
      </c>
      <c r="Q22" s="65"/>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7"/>
    </row>
    <row r="23" spans="1:74" s="68" customFormat="1" hidden="1" outlineLevel="1" x14ac:dyDescent="0.35">
      <c r="A23" s="86">
        <v>2</v>
      </c>
      <c r="B23" s="80" t="str">
        <f t="shared" ca="1" si="8"/>
        <v>3.6</v>
      </c>
      <c r="C23" s="122" t="s">
        <v>270</v>
      </c>
      <c r="D23" s="122"/>
      <c r="E23" s="123"/>
      <c r="F23" s="124" t="str">
        <f t="shared" ca="1" si="17"/>
        <v>3.5</v>
      </c>
      <c r="G23" s="139"/>
      <c r="H23" s="140"/>
      <c r="I23" s="141">
        <v>9</v>
      </c>
      <c r="J23" s="142"/>
      <c r="K23" s="143"/>
      <c r="L23" s="142"/>
      <c r="M23" s="83">
        <f t="shared" ca="1" si="6"/>
        <v>42437</v>
      </c>
      <c r="N23" s="83">
        <f t="shared" ca="1" si="7"/>
        <v>42447</v>
      </c>
      <c r="O23" s="85">
        <f t="shared" si="9"/>
        <v>9</v>
      </c>
      <c r="P23" s="85">
        <f t="shared" ca="1" si="10"/>
        <v>11</v>
      </c>
      <c r="Q23" s="65"/>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7"/>
    </row>
    <row r="24" spans="1:74" s="68" customFormat="1" hidden="1" outlineLevel="1" x14ac:dyDescent="0.35">
      <c r="A24" s="86">
        <v>2</v>
      </c>
      <c r="B24" s="80" t="str">
        <f t="shared" ca="1" si="8"/>
        <v>3.7</v>
      </c>
      <c r="C24" s="122" t="s">
        <v>271</v>
      </c>
      <c r="D24" s="122"/>
      <c r="E24" s="123"/>
      <c r="F24" s="124" t="str">
        <f t="shared" ca="1" si="17"/>
        <v>3.6</v>
      </c>
      <c r="G24" s="125"/>
      <c r="H24" s="126"/>
      <c r="I24" s="127">
        <v>2</v>
      </c>
      <c r="J24" s="127"/>
      <c r="K24" s="128"/>
      <c r="L24" s="129"/>
      <c r="M24" s="83">
        <f t="shared" ca="1" si="6"/>
        <v>42450</v>
      </c>
      <c r="N24" s="83">
        <f t="shared" ca="1" si="7"/>
        <v>42451</v>
      </c>
      <c r="O24" s="85">
        <f t="shared" si="9"/>
        <v>2</v>
      </c>
      <c r="P24" s="85">
        <f t="shared" ca="1" si="10"/>
        <v>2</v>
      </c>
      <c r="Q24" s="65"/>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7"/>
    </row>
    <row r="25" spans="1:74" s="105" customFormat="1" collapsed="1" x14ac:dyDescent="0.35">
      <c r="A25" s="99">
        <v>1</v>
      </c>
      <c r="B25" s="111" t="str">
        <f t="shared" ca="1" si="8"/>
        <v>4</v>
      </c>
      <c r="C25" s="130" t="s">
        <v>272</v>
      </c>
      <c r="D25" s="131"/>
      <c r="E25" s="132"/>
      <c r="F25" s="133"/>
      <c r="G25" s="134">
        <f ca="1">MIN(M26:M32)</f>
        <v>42452</v>
      </c>
      <c r="H25" s="134">
        <f ca="1">MAX(N26:N32)</f>
        <v>42499</v>
      </c>
      <c r="I25" s="101"/>
      <c r="J25" s="101"/>
      <c r="K25" s="135"/>
      <c r="L25" s="136" t="s">
        <v>28</v>
      </c>
      <c r="M25" s="100">
        <f t="shared" ca="1" si="6"/>
        <v>42452</v>
      </c>
      <c r="N25" s="100">
        <f t="shared" ca="1" si="7"/>
        <v>42499</v>
      </c>
      <c r="O25" s="101">
        <f t="shared" ca="1" si="9"/>
        <v>31</v>
      </c>
      <c r="P25" s="101">
        <f t="shared" ca="1" si="10"/>
        <v>48</v>
      </c>
      <c r="Q25" s="102"/>
      <c r="R25" s="103"/>
      <c r="S25" s="103"/>
      <c r="T25" s="103"/>
      <c r="U25" s="103"/>
      <c r="V25" s="103"/>
      <c r="W25" s="103"/>
      <c r="X25" s="103"/>
      <c r="Y25" s="103"/>
      <c r="Z25" s="103"/>
      <c r="AA25" s="103"/>
      <c r="AB25" s="103"/>
      <c r="AC25" s="103"/>
      <c r="AD25" s="103"/>
      <c r="AE25" s="103"/>
      <c r="AF25" s="103"/>
      <c r="AG25" s="103"/>
      <c r="AH25" s="103"/>
      <c r="AI25" s="103"/>
      <c r="AJ25" s="103"/>
      <c r="AK25" s="103"/>
      <c r="AL25" s="103"/>
      <c r="AM25" s="103"/>
      <c r="AN25" s="103"/>
      <c r="AO25" s="103"/>
      <c r="AP25" s="103"/>
      <c r="AQ25" s="103"/>
      <c r="AR25" s="103"/>
      <c r="AS25" s="103"/>
      <c r="AT25" s="103"/>
      <c r="AU25" s="103"/>
      <c r="AV25" s="103"/>
      <c r="AW25" s="103"/>
      <c r="AX25" s="103"/>
      <c r="AY25" s="103"/>
      <c r="AZ25" s="103"/>
      <c r="BA25" s="103"/>
      <c r="BB25" s="103"/>
      <c r="BC25" s="103"/>
      <c r="BD25" s="103"/>
      <c r="BE25" s="103"/>
      <c r="BF25" s="103"/>
      <c r="BG25" s="103"/>
      <c r="BH25" s="103"/>
      <c r="BI25" s="103"/>
      <c r="BJ25" s="103"/>
      <c r="BK25" s="103"/>
      <c r="BL25" s="103"/>
      <c r="BM25" s="103"/>
      <c r="BN25" s="103"/>
      <c r="BO25" s="103"/>
      <c r="BP25" s="103"/>
      <c r="BQ25" s="103"/>
      <c r="BR25" s="103"/>
      <c r="BS25" s="103"/>
      <c r="BT25" s="103"/>
      <c r="BU25" s="103"/>
      <c r="BV25" s="104"/>
    </row>
    <row r="26" spans="1:74" s="68" customFormat="1" hidden="1" outlineLevel="1" x14ac:dyDescent="0.35">
      <c r="A26" s="86">
        <v>2</v>
      </c>
      <c r="B26" s="80" t="str">
        <f t="shared" ca="1" si="8"/>
        <v>4.1</v>
      </c>
      <c r="C26" s="122" t="s">
        <v>273</v>
      </c>
      <c r="D26" s="122"/>
      <c r="E26" s="123"/>
      <c r="F26" s="124" t="str">
        <f ca="1">B17</f>
        <v>3</v>
      </c>
      <c r="G26" s="125"/>
      <c r="H26" s="126"/>
      <c r="I26" s="127">
        <v>6</v>
      </c>
      <c r="J26" s="127"/>
      <c r="K26" s="128"/>
      <c r="L26" s="129"/>
      <c r="M26" s="83">
        <f t="shared" ca="1" si="6"/>
        <v>42452</v>
      </c>
      <c r="N26" s="83">
        <f t="shared" ref="N26" ca="1" si="27">IF(H26&lt;&gt;"",H26,IF(M26=" - "," - ",IF(I26&lt;&gt;"",WORKDAY.INTL(M26,I26-1,weekend,holidays),M26+MAX(J26,1)-1)))</f>
        <v>42461</v>
      </c>
      <c r="O26" s="85">
        <f t="shared" ref="O26" si="28">IF(I26&lt;&gt;"",I26,IF(OR(NOT(ISNUMBER(M26)),NOT(ISNUMBER(N26)))," - ",NETWORKDAYS.INTL(M26,N26,weekend,holidays)))</f>
        <v>6</v>
      </c>
      <c r="P26" s="85">
        <f t="shared" ref="P26" ca="1" si="29">IF(J26&lt;&gt;"",J26,IF(OR(NOT(ISNUMBER(M26)),NOT(ISNUMBER(N26)))," - ",N26-M26+1))</f>
        <v>10</v>
      </c>
      <c r="Q26" s="65"/>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7"/>
    </row>
    <row r="27" spans="1:74" s="68" customFormat="1" hidden="1" outlineLevel="1" x14ac:dyDescent="0.35">
      <c r="A27" s="86">
        <v>2</v>
      </c>
      <c r="B27" s="80" t="str">
        <f t="shared" ca="1" si="8"/>
        <v>4.2</v>
      </c>
      <c r="C27" s="122" t="s">
        <v>274</v>
      </c>
      <c r="D27" s="122"/>
      <c r="E27" s="123"/>
      <c r="F27" s="124" t="str">
        <f ca="1">B26</f>
        <v>4.1</v>
      </c>
      <c r="G27" s="125"/>
      <c r="H27" s="126"/>
      <c r="I27" s="127">
        <v>3</v>
      </c>
      <c r="J27" s="127"/>
      <c r="K27" s="128"/>
      <c r="L27" s="129"/>
      <c r="M27" s="83">
        <f t="shared" ca="1" si="6"/>
        <v>42464</v>
      </c>
      <c r="N27" s="83">
        <f t="shared" ref="N27" ca="1" si="30">IF(H27&lt;&gt;"",H27,IF(M27=" - "," - ",IF(I27&lt;&gt;"",WORKDAY.INTL(M27,I27-1,weekend,holidays),M27+MAX(J27,1)-1)))</f>
        <v>42466</v>
      </c>
      <c r="O27" s="85">
        <f t="shared" ref="O27" si="31">IF(I27&lt;&gt;"",I27,IF(OR(NOT(ISNUMBER(M27)),NOT(ISNUMBER(N27)))," - ",NETWORKDAYS.INTL(M27,N27,weekend,holidays)))</f>
        <v>3</v>
      </c>
      <c r="P27" s="85">
        <f t="shared" ref="P27" ca="1" si="32">IF(J27&lt;&gt;"",J27,IF(OR(NOT(ISNUMBER(M27)),NOT(ISNUMBER(N27)))," - ",N27-M27+1))</f>
        <v>3</v>
      </c>
      <c r="Q27" s="65"/>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7"/>
    </row>
    <row r="28" spans="1:74" s="68" customFormat="1" hidden="1" outlineLevel="1" x14ac:dyDescent="0.35">
      <c r="A28" s="86">
        <v>2</v>
      </c>
      <c r="B28" s="80" t="str">
        <f t="shared" ca="1" si="8"/>
        <v>4.3</v>
      </c>
      <c r="C28" s="122" t="s">
        <v>275</v>
      </c>
      <c r="D28" s="122"/>
      <c r="E28" s="123"/>
      <c r="F28" s="124" t="str">
        <f t="shared" ref="F28:F32" ca="1" si="33">B27</f>
        <v>4.2</v>
      </c>
      <c r="G28" s="125"/>
      <c r="H28" s="126"/>
      <c r="I28" s="127">
        <v>2</v>
      </c>
      <c r="J28" s="127"/>
      <c r="K28" s="128"/>
      <c r="L28" s="129"/>
      <c r="M28" s="83">
        <f t="shared" ca="1" si="6"/>
        <v>42467</v>
      </c>
      <c r="N28" s="83">
        <f t="shared" ref="N28" ca="1" si="34">IF(H28&lt;&gt;"",H28,IF(M28=" - "," - ",IF(I28&lt;&gt;"",WORKDAY.INTL(M28,I28-1,weekend,holidays),M28+MAX(J28,1)-1)))</f>
        <v>42468</v>
      </c>
      <c r="O28" s="85">
        <f t="shared" ref="O28" si="35">IF(I28&lt;&gt;"",I28,IF(OR(NOT(ISNUMBER(M28)),NOT(ISNUMBER(N28)))," - ",NETWORKDAYS.INTL(M28,N28,weekend,holidays)))</f>
        <v>2</v>
      </c>
      <c r="P28" s="85">
        <f t="shared" ref="P28" ca="1" si="36">IF(J28&lt;&gt;"",J28,IF(OR(NOT(ISNUMBER(M28)),NOT(ISNUMBER(N28)))," - ",N28-M28+1))</f>
        <v>2</v>
      </c>
      <c r="Q28" s="65"/>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7"/>
    </row>
    <row r="29" spans="1:74" s="68" customFormat="1" hidden="1" outlineLevel="1" x14ac:dyDescent="0.35">
      <c r="A29" s="86">
        <v>2</v>
      </c>
      <c r="B29" s="80" t="str">
        <f t="shared" ca="1" si="8"/>
        <v>4.4</v>
      </c>
      <c r="C29" s="122" t="s">
        <v>276</v>
      </c>
      <c r="D29" s="122"/>
      <c r="E29" s="123"/>
      <c r="F29" s="124" t="str">
        <f t="shared" ca="1" si="33"/>
        <v>4.3</v>
      </c>
      <c r="G29" s="125"/>
      <c r="H29" s="126"/>
      <c r="I29" s="127">
        <v>7</v>
      </c>
      <c r="J29" s="127"/>
      <c r="K29" s="128"/>
      <c r="L29" s="129"/>
      <c r="M29" s="83">
        <f t="shared" ca="1" si="6"/>
        <v>42471</v>
      </c>
      <c r="N29" s="83">
        <f t="shared" ref="N29" ca="1" si="37">IF(H29&lt;&gt;"",H29,IF(M29=" - "," - ",IF(I29&lt;&gt;"",WORKDAY.INTL(M29,I29-1,weekend,holidays),M29+MAX(J29,1)-1)))</f>
        <v>42479</v>
      </c>
      <c r="O29" s="85">
        <f t="shared" ref="O29" si="38">IF(I29&lt;&gt;"",I29,IF(OR(NOT(ISNUMBER(M29)),NOT(ISNUMBER(N29)))," - ",NETWORKDAYS.INTL(M29,N29,weekend,holidays)))</f>
        <v>7</v>
      </c>
      <c r="P29" s="85">
        <f t="shared" ref="P29" ca="1" si="39">IF(J29&lt;&gt;"",J29,IF(OR(NOT(ISNUMBER(M29)),NOT(ISNUMBER(N29)))," - ",N29-M29+1))</f>
        <v>9</v>
      </c>
      <c r="Q29" s="65"/>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c r="BM29" s="66"/>
      <c r="BN29" s="66"/>
      <c r="BO29" s="66"/>
      <c r="BP29" s="66"/>
      <c r="BQ29" s="66"/>
      <c r="BR29" s="66"/>
      <c r="BS29" s="66"/>
      <c r="BT29" s="66"/>
      <c r="BU29" s="66"/>
      <c r="BV29" s="67"/>
    </row>
    <row r="30" spans="1:74" s="68" customFormat="1" hidden="1" outlineLevel="1" x14ac:dyDescent="0.35">
      <c r="A30" s="86">
        <v>2</v>
      </c>
      <c r="B30" s="80" t="str">
        <f t="shared" ca="1" si="8"/>
        <v>4.5</v>
      </c>
      <c r="C30" s="122" t="s">
        <v>277</v>
      </c>
      <c r="D30" s="122"/>
      <c r="E30" s="123"/>
      <c r="F30" s="124" t="str">
        <f t="shared" ca="1" si="33"/>
        <v>4.4</v>
      </c>
      <c r="G30" s="125"/>
      <c r="H30" s="126"/>
      <c r="I30" s="127">
        <v>3</v>
      </c>
      <c r="J30" s="127"/>
      <c r="K30" s="128"/>
      <c r="L30" s="129"/>
      <c r="M30" s="83">
        <f t="shared" ca="1" si="6"/>
        <v>42480</v>
      </c>
      <c r="N30" s="83">
        <f t="shared" ca="1" si="7"/>
        <v>42482</v>
      </c>
      <c r="O30" s="85">
        <f t="shared" si="9"/>
        <v>3</v>
      </c>
      <c r="P30" s="85">
        <f t="shared" ca="1" si="10"/>
        <v>3</v>
      </c>
      <c r="Q30" s="65"/>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M30" s="66"/>
      <c r="BN30" s="66"/>
      <c r="BO30" s="66"/>
      <c r="BP30" s="66"/>
      <c r="BQ30" s="66"/>
      <c r="BR30" s="66"/>
      <c r="BS30" s="66"/>
      <c r="BT30" s="66"/>
      <c r="BU30" s="66"/>
      <c r="BV30" s="67"/>
    </row>
    <row r="31" spans="1:74" s="68" customFormat="1" hidden="1" outlineLevel="1" x14ac:dyDescent="0.35">
      <c r="A31" s="86">
        <v>2</v>
      </c>
      <c r="B31" s="80" t="str">
        <f t="shared" ca="1" si="8"/>
        <v>4.6</v>
      </c>
      <c r="C31" s="122" t="s">
        <v>278</v>
      </c>
      <c r="D31" s="122"/>
      <c r="E31" s="123"/>
      <c r="F31" s="124" t="str">
        <f t="shared" ca="1" si="33"/>
        <v>4.5</v>
      </c>
      <c r="G31" s="125"/>
      <c r="H31" s="126"/>
      <c r="I31" s="127">
        <v>7</v>
      </c>
      <c r="J31" s="127"/>
      <c r="K31" s="128"/>
      <c r="L31" s="129"/>
      <c r="M31" s="83">
        <f t="shared" ca="1" si="6"/>
        <v>42485</v>
      </c>
      <c r="N31" s="83">
        <f t="shared" ca="1" si="7"/>
        <v>42494</v>
      </c>
      <c r="O31" s="85">
        <f t="shared" si="9"/>
        <v>7</v>
      </c>
      <c r="P31" s="85">
        <f t="shared" ca="1" si="10"/>
        <v>10</v>
      </c>
      <c r="Q31" s="65"/>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7"/>
    </row>
    <row r="32" spans="1:74" s="68" customFormat="1" hidden="1" outlineLevel="1" x14ac:dyDescent="0.35">
      <c r="A32" s="86">
        <v>2</v>
      </c>
      <c r="B32" s="80" t="str">
        <f t="shared" ca="1" si="8"/>
        <v>4.7</v>
      </c>
      <c r="C32" s="122" t="s">
        <v>279</v>
      </c>
      <c r="D32" s="122"/>
      <c r="E32" s="123"/>
      <c r="F32" s="124" t="str">
        <f t="shared" ca="1" si="33"/>
        <v>4.6</v>
      </c>
      <c r="G32" s="125"/>
      <c r="H32" s="126"/>
      <c r="I32" s="127">
        <v>3</v>
      </c>
      <c r="J32" s="127"/>
      <c r="K32" s="128"/>
      <c r="L32" s="129"/>
      <c r="M32" s="83">
        <f t="shared" ca="1" si="6"/>
        <v>42495</v>
      </c>
      <c r="N32" s="83">
        <f t="shared" ref="N32" ca="1" si="40">IF(H32&lt;&gt;"",H32,IF(M32=" - "," - ",IF(I32&lt;&gt;"",WORKDAY.INTL(M32,I32-1,weekend,holidays),M32+MAX(J32,1)-1)))</f>
        <v>42499</v>
      </c>
      <c r="O32" s="85">
        <f t="shared" ref="O32" si="41">IF(I32&lt;&gt;"",I32,IF(OR(NOT(ISNUMBER(M32)),NOT(ISNUMBER(N32)))," - ",NETWORKDAYS.INTL(M32,N32,weekend,holidays)))</f>
        <v>3</v>
      </c>
      <c r="P32" s="85">
        <f t="shared" ref="P32" ca="1" si="42">IF(J32&lt;&gt;"",J32,IF(OR(NOT(ISNUMBER(M32)),NOT(ISNUMBER(N32)))," - ",N32-M32+1))</f>
        <v>5</v>
      </c>
      <c r="Q32" s="65"/>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c r="BM32" s="66"/>
      <c r="BN32" s="66"/>
      <c r="BO32" s="66"/>
      <c r="BP32" s="66"/>
      <c r="BQ32" s="66"/>
      <c r="BR32" s="66"/>
      <c r="BS32" s="66"/>
      <c r="BT32" s="66"/>
      <c r="BU32" s="66"/>
      <c r="BV32" s="67"/>
    </row>
    <row r="33" spans="1:74" s="105" customFormat="1" collapsed="1" x14ac:dyDescent="0.35">
      <c r="A33" s="99">
        <v>1</v>
      </c>
      <c r="B33" s="111" t="str">
        <f t="shared" ca="1" si="8"/>
        <v>5</v>
      </c>
      <c r="C33" s="130" t="s">
        <v>280</v>
      </c>
      <c r="D33" s="131"/>
      <c r="E33" s="132"/>
      <c r="F33" s="133"/>
      <c r="G33" s="134">
        <f ca="1">MIN(M34:M39)</f>
        <v>42500</v>
      </c>
      <c r="H33" s="134">
        <f ca="1">MAX(N34:N39)</f>
        <v>42530</v>
      </c>
      <c r="I33" s="101"/>
      <c r="J33" s="101"/>
      <c r="K33" s="135"/>
      <c r="L33" s="136" t="s">
        <v>28</v>
      </c>
      <c r="M33" s="100">
        <f t="shared" ca="1" si="6"/>
        <v>42500</v>
      </c>
      <c r="N33" s="100">
        <f t="shared" ref="N33:N38" ca="1" si="43">IF(H33&lt;&gt;"",H33,IF(M33=" - "," - ",IF(I33&lt;&gt;"",WORKDAY.INTL(M33,I33-1,weekend,holidays),M33+MAX(J33,1)-1)))</f>
        <v>42530</v>
      </c>
      <c r="O33" s="101">
        <f t="shared" ref="O33:O38" ca="1" si="44">IF(I33&lt;&gt;"",I33,IF(OR(NOT(ISNUMBER(M33)),NOT(ISNUMBER(N33)))," - ",NETWORKDAYS.INTL(M33,N33,weekend,holidays)))</f>
        <v>22</v>
      </c>
      <c r="P33" s="101">
        <f t="shared" ref="P33:P38" ca="1" si="45">IF(J33&lt;&gt;"",J33,IF(OR(NOT(ISNUMBER(M33)),NOT(ISNUMBER(N33)))," - ",N33-M33+1))</f>
        <v>31</v>
      </c>
      <c r="Q33" s="102"/>
      <c r="R33" s="103"/>
      <c r="S33" s="103"/>
      <c r="T33" s="103"/>
      <c r="U33" s="103"/>
      <c r="V33" s="103"/>
      <c r="W33" s="103"/>
      <c r="X33" s="103"/>
      <c r="Y33" s="103"/>
      <c r="Z33" s="103"/>
      <c r="AA33" s="103"/>
      <c r="AB33" s="103"/>
      <c r="AC33" s="103"/>
      <c r="AD33" s="103"/>
      <c r="AE33" s="103"/>
      <c r="AF33" s="103"/>
      <c r="AG33" s="103"/>
      <c r="AH33" s="103"/>
      <c r="AI33" s="103"/>
      <c r="AJ33" s="103"/>
      <c r="AK33" s="103"/>
      <c r="AL33" s="103"/>
      <c r="AM33" s="103"/>
      <c r="AN33" s="103"/>
      <c r="AO33" s="103"/>
      <c r="AP33" s="103"/>
      <c r="AQ33" s="103"/>
      <c r="AR33" s="103"/>
      <c r="AS33" s="103"/>
      <c r="AT33" s="103"/>
      <c r="AU33" s="103"/>
      <c r="AV33" s="103"/>
      <c r="AW33" s="103"/>
      <c r="AX33" s="103"/>
      <c r="AY33" s="103"/>
      <c r="AZ33" s="103"/>
      <c r="BA33" s="103"/>
      <c r="BB33" s="103"/>
      <c r="BC33" s="103"/>
      <c r="BD33" s="103"/>
      <c r="BE33" s="103"/>
      <c r="BF33" s="103"/>
      <c r="BG33" s="103"/>
      <c r="BH33" s="103"/>
      <c r="BI33" s="103"/>
      <c r="BJ33" s="103"/>
      <c r="BK33" s="103"/>
      <c r="BL33" s="103"/>
      <c r="BM33" s="103"/>
      <c r="BN33" s="103"/>
      <c r="BO33" s="103"/>
      <c r="BP33" s="103"/>
      <c r="BQ33" s="103"/>
      <c r="BR33" s="103"/>
      <c r="BS33" s="103"/>
      <c r="BT33" s="103"/>
      <c r="BU33" s="103"/>
      <c r="BV33" s="104"/>
    </row>
    <row r="34" spans="1:74" s="68" customFormat="1" hidden="1" outlineLevel="1" x14ac:dyDescent="0.35">
      <c r="A34" s="86">
        <v>2</v>
      </c>
      <c r="B34" s="80" t="str">
        <f t="shared" ca="1" si="8"/>
        <v>5.1</v>
      </c>
      <c r="C34" s="122" t="s">
        <v>281</v>
      </c>
      <c r="D34" s="122"/>
      <c r="E34" s="123"/>
      <c r="F34" s="124" t="str">
        <f ca="1">B25</f>
        <v>4</v>
      </c>
      <c r="G34" s="125"/>
      <c r="H34" s="126"/>
      <c r="I34" s="127">
        <v>3</v>
      </c>
      <c r="J34" s="127"/>
      <c r="K34" s="128"/>
      <c r="L34" s="129"/>
      <c r="M34" s="83">
        <f t="shared" ca="1" si="6"/>
        <v>42500</v>
      </c>
      <c r="N34" s="83">
        <f t="shared" ca="1" si="43"/>
        <v>42502</v>
      </c>
      <c r="O34" s="85">
        <f t="shared" si="44"/>
        <v>3</v>
      </c>
      <c r="P34" s="85">
        <f t="shared" ca="1" si="45"/>
        <v>3</v>
      </c>
      <c r="Q34" s="65"/>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7"/>
    </row>
    <row r="35" spans="1:74" s="68" customFormat="1" hidden="1" outlineLevel="1" x14ac:dyDescent="0.35">
      <c r="A35" s="86">
        <v>2</v>
      </c>
      <c r="B35" s="80" t="str">
        <f t="shared" ca="1" si="8"/>
        <v>5.2</v>
      </c>
      <c r="C35" s="122" t="s">
        <v>282</v>
      </c>
      <c r="D35" s="122"/>
      <c r="E35" s="123"/>
      <c r="F35" s="124" t="str">
        <f ca="1">B34</f>
        <v>5.1</v>
      </c>
      <c r="G35" s="125"/>
      <c r="H35" s="126"/>
      <c r="I35" s="127">
        <v>4</v>
      </c>
      <c r="J35" s="127"/>
      <c r="K35" s="128"/>
      <c r="L35" s="129"/>
      <c r="M35" s="83">
        <f t="shared" ca="1" si="6"/>
        <v>42503</v>
      </c>
      <c r="N35" s="83">
        <f t="shared" ca="1" si="43"/>
        <v>42508</v>
      </c>
      <c r="O35" s="85">
        <f t="shared" si="44"/>
        <v>4</v>
      </c>
      <c r="P35" s="85">
        <f t="shared" ca="1" si="45"/>
        <v>6</v>
      </c>
      <c r="Q35" s="65"/>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7"/>
    </row>
    <row r="36" spans="1:74" s="68" customFormat="1" hidden="1" outlineLevel="1" x14ac:dyDescent="0.35">
      <c r="A36" s="86">
        <v>2</v>
      </c>
      <c r="B36" s="80" t="str">
        <f t="shared" ca="1" si="8"/>
        <v>5.3</v>
      </c>
      <c r="C36" s="122" t="s">
        <v>283</v>
      </c>
      <c r="D36" s="122"/>
      <c r="E36" s="123"/>
      <c r="F36" s="124" t="str">
        <f t="shared" ref="F36:F39" ca="1" si="46">B35</f>
        <v>5.2</v>
      </c>
      <c r="G36" s="125"/>
      <c r="H36" s="126"/>
      <c r="I36" s="127">
        <v>3</v>
      </c>
      <c r="J36" s="127"/>
      <c r="K36" s="128"/>
      <c r="L36" s="129"/>
      <c r="M36" s="83">
        <f t="shared" ca="1" si="6"/>
        <v>42509</v>
      </c>
      <c r="N36" s="83">
        <f t="shared" ca="1" si="43"/>
        <v>42513</v>
      </c>
      <c r="O36" s="85">
        <f t="shared" si="44"/>
        <v>3</v>
      </c>
      <c r="P36" s="85">
        <f t="shared" ca="1" si="45"/>
        <v>5</v>
      </c>
      <c r="Q36" s="65"/>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M36" s="66"/>
      <c r="BN36" s="66"/>
      <c r="BO36" s="66"/>
      <c r="BP36" s="66"/>
      <c r="BQ36" s="66"/>
      <c r="BR36" s="66"/>
      <c r="BS36" s="66"/>
      <c r="BT36" s="66"/>
      <c r="BU36" s="66"/>
      <c r="BV36" s="67"/>
    </row>
    <row r="37" spans="1:74" s="68" customFormat="1" hidden="1" outlineLevel="1" x14ac:dyDescent="0.35">
      <c r="A37" s="86">
        <v>2</v>
      </c>
      <c r="B37" s="80" t="str">
        <f t="shared" ca="1" si="8"/>
        <v>5.4</v>
      </c>
      <c r="C37" s="122" t="s">
        <v>284</v>
      </c>
      <c r="D37" s="122"/>
      <c r="E37" s="123"/>
      <c r="F37" s="124" t="str">
        <f t="shared" ca="1" si="46"/>
        <v>5.3</v>
      </c>
      <c r="G37" s="125"/>
      <c r="H37" s="126"/>
      <c r="I37" s="127">
        <v>6</v>
      </c>
      <c r="J37" s="127"/>
      <c r="K37" s="128"/>
      <c r="L37" s="129"/>
      <c r="M37" s="83">
        <f t="shared" ca="1" si="6"/>
        <v>42514</v>
      </c>
      <c r="N37" s="83">
        <f t="shared" ca="1" si="43"/>
        <v>42522</v>
      </c>
      <c r="O37" s="85">
        <f t="shared" si="44"/>
        <v>6</v>
      </c>
      <c r="P37" s="85">
        <f t="shared" ca="1" si="45"/>
        <v>9</v>
      </c>
      <c r="Q37" s="65"/>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c r="BO37" s="66"/>
      <c r="BP37" s="66"/>
      <c r="BQ37" s="66"/>
      <c r="BR37" s="66"/>
      <c r="BS37" s="66"/>
      <c r="BT37" s="66"/>
      <c r="BU37" s="66"/>
      <c r="BV37" s="67"/>
    </row>
    <row r="38" spans="1:74" s="68" customFormat="1" hidden="1" outlineLevel="1" x14ac:dyDescent="0.35">
      <c r="A38" s="86">
        <v>2</v>
      </c>
      <c r="B38" s="80" t="str">
        <f t="shared" ca="1" si="8"/>
        <v>5.5</v>
      </c>
      <c r="C38" s="122" t="s">
        <v>285</v>
      </c>
      <c r="D38" s="122"/>
      <c r="E38" s="123"/>
      <c r="F38" s="124" t="str">
        <f t="shared" ca="1" si="46"/>
        <v>5.4</v>
      </c>
      <c r="G38" s="125"/>
      <c r="H38" s="126"/>
      <c r="I38" s="127">
        <v>2</v>
      </c>
      <c r="J38" s="127"/>
      <c r="K38" s="128"/>
      <c r="L38" s="129"/>
      <c r="M38" s="83">
        <f t="shared" ca="1" si="6"/>
        <v>42523</v>
      </c>
      <c r="N38" s="83">
        <f t="shared" ca="1" si="43"/>
        <v>42524</v>
      </c>
      <c r="O38" s="85">
        <f t="shared" si="44"/>
        <v>2</v>
      </c>
      <c r="P38" s="85">
        <f t="shared" ca="1" si="45"/>
        <v>2</v>
      </c>
      <c r="Q38" s="65"/>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c r="BV38" s="67"/>
    </row>
    <row r="39" spans="1:74" s="68" customFormat="1" hidden="1" outlineLevel="1" x14ac:dyDescent="0.35">
      <c r="A39" s="86">
        <v>2</v>
      </c>
      <c r="B39" s="80" t="str">
        <f t="shared" ref="B39" ca="1" si="47">IF(A39="","",IF(A39&gt;OFFSET(A39,-1,0,1,1),IF(OFFSET(B39,-1,0,1,1)="","1",OFFSET(B39,-1,0,1,1))&amp;REPT(".1",A39-MAX(OFFSET(A39,-1,0,1,1),1)),IF(ISERROR(FIND(".",OFFSET(B39,-1,0,1,1))),REPT("1.",A39-1)&amp;IFERROR(VALUE(OFFSET(B39,-1,0,1,1))+1,"1"),IF(A39=1,"",IFERROR(LEFT(OFFSET(B39,-1,0,1,1),FIND("^",SUBSTITUTE(OFFSET(B39,-1,0,1,1),".","^",A39-1))),""))&amp;VALUE(TRIM(MID(SUBSTITUTE(OFFSET(B39,-1,0,1,1),".",REPT(" ",LEN(OFFSET(B39,-1,0,1,1)))),(A39-1)*LEN(OFFSET(B39,-1,0,1,1))+1,LEN(OFFSET(B39,-1,0,1,1)))))+1)))</f>
        <v>5.6</v>
      </c>
      <c r="C39" s="122" t="s">
        <v>286</v>
      </c>
      <c r="D39" s="122"/>
      <c r="E39" s="123"/>
      <c r="F39" s="124" t="str">
        <f t="shared" ca="1" si="46"/>
        <v>5.5</v>
      </c>
      <c r="G39" s="125"/>
      <c r="H39" s="126"/>
      <c r="I39" s="127">
        <v>4</v>
      </c>
      <c r="J39" s="127"/>
      <c r="K39" s="128"/>
      <c r="L39" s="129"/>
      <c r="M39" s="83">
        <f t="shared" ca="1" si="6"/>
        <v>42527</v>
      </c>
      <c r="N39" s="83">
        <f t="shared" ref="N39" ca="1" si="48">IF(H39&lt;&gt;"",H39,IF(M39=" - "," - ",IF(I39&lt;&gt;"",WORKDAY.INTL(M39,I39-1,weekend,holidays),M39+MAX(J39,1)-1)))</f>
        <v>42530</v>
      </c>
      <c r="O39" s="85">
        <f t="shared" ref="O39" si="49">IF(I39&lt;&gt;"",I39,IF(OR(NOT(ISNUMBER(M39)),NOT(ISNUMBER(N39)))," - ",NETWORKDAYS.INTL(M39,N39,weekend,holidays)))</f>
        <v>4</v>
      </c>
      <c r="P39" s="85">
        <f t="shared" ref="P39" ca="1" si="50">IF(J39&lt;&gt;"",J39,IF(OR(NOT(ISNUMBER(M39)),NOT(ISNUMBER(N39)))," - ",N39-M39+1))</f>
        <v>4</v>
      </c>
      <c r="Q39" s="65"/>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6"/>
      <c r="BV39" s="67"/>
    </row>
    <row r="40" spans="1:74" s="105" customFormat="1" collapsed="1" x14ac:dyDescent="0.35">
      <c r="A40" s="99">
        <v>1</v>
      </c>
      <c r="B40" s="111" t="str">
        <f t="shared" ref="B40:B43" ca="1" si="51">IF(A40="","",IF(A40&gt;OFFSET(A40,-1,0,1,1),IF(OFFSET(B40,-1,0,1,1)="","1",OFFSET(B40,-1,0,1,1))&amp;REPT(".1",A40-MAX(OFFSET(A40,-1,0,1,1),1)),IF(ISERROR(FIND(".",OFFSET(B40,-1,0,1,1))),REPT("1.",A40-1)&amp;IFERROR(VALUE(OFFSET(B40,-1,0,1,1))+1,"1"),IF(A40=1,"",IFERROR(LEFT(OFFSET(B40,-1,0,1,1),FIND("^",SUBSTITUTE(OFFSET(B40,-1,0,1,1),".","^",A40-1))),""))&amp;VALUE(TRIM(MID(SUBSTITUTE(OFFSET(B40,-1,0,1,1),".",REPT(" ",LEN(OFFSET(B40,-1,0,1,1)))),(A40-1)*LEN(OFFSET(B40,-1,0,1,1))+1,LEN(OFFSET(B40,-1,0,1,1)))))+1)))</f>
        <v>6</v>
      </c>
      <c r="C40" s="130" t="s">
        <v>287</v>
      </c>
      <c r="D40" s="131"/>
      <c r="E40" s="132"/>
      <c r="F40" s="133"/>
      <c r="G40" s="134">
        <f ca="1">MIN(M41:M43)</f>
        <v>42531</v>
      </c>
      <c r="H40" s="134">
        <f ca="1">MAX(N41:N43)</f>
        <v>42544</v>
      </c>
      <c r="I40" s="101"/>
      <c r="J40" s="101"/>
      <c r="K40" s="135"/>
      <c r="L40" s="136" t="s">
        <v>28</v>
      </c>
      <c r="M40" s="100">
        <f t="shared" ca="1" si="6"/>
        <v>42531</v>
      </c>
      <c r="N40" s="100">
        <f t="shared" ref="N40:N43" ca="1" si="52">IF(H40&lt;&gt;"",H40,IF(M40=" - "," - ",IF(I40&lt;&gt;"",WORKDAY.INTL(M40,I40-1,weekend,holidays),M40+MAX(J40,1)-1)))</f>
        <v>42544</v>
      </c>
      <c r="O40" s="101">
        <f t="shared" ref="O40:O43" ca="1" si="53">IF(I40&lt;&gt;"",I40,IF(OR(NOT(ISNUMBER(M40)),NOT(ISNUMBER(N40)))," - ",NETWORKDAYS.INTL(M40,N40,weekend,holidays)))</f>
        <v>10</v>
      </c>
      <c r="P40" s="101">
        <f t="shared" ref="P40:P43" ca="1" si="54">IF(J40&lt;&gt;"",J40,IF(OR(NOT(ISNUMBER(M40)),NOT(ISNUMBER(N40)))," - ",N40-M40+1))</f>
        <v>14</v>
      </c>
      <c r="Q40" s="102"/>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3"/>
      <c r="BI40" s="103"/>
      <c r="BJ40" s="103"/>
      <c r="BK40" s="103"/>
      <c r="BL40" s="103"/>
      <c r="BM40" s="103"/>
      <c r="BN40" s="103"/>
      <c r="BO40" s="103"/>
      <c r="BP40" s="103"/>
      <c r="BQ40" s="103"/>
      <c r="BR40" s="103"/>
      <c r="BS40" s="103"/>
      <c r="BT40" s="103"/>
      <c r="BU40" s="103"/>
      <c r="BV40" s="104"/>
    </row>
    <row r="41" spans="1:74" s="68" customFormat="1" hidden="1" outlineLevel="1" x14ac:dyDescent="0.35">
      <c r="A41" s="86">
        <v>2</v>
      </c>
      <c r="B41" s="80" t="str">
        <f t="shared" ca="1" si="51"/>
        <v>6.1</v>
      </c>
      <c r="C41" s="122" t="s">
        <v>288</v>
      </c>
      <c r="D41" s="122"/>
      <c r="E41" s="123"/>
      <c r="F41" s="124" t="str">
        <f ca="1">B39</f>
        <v>5.6</v>
      </c>
      <c r="G41" s="125"/>
      <c r="H41" s="126"/>
      <c r="I41" s="127">
        <v>10</v>
      </c>
      <c r="J41" s="127"/>
      <c r="K41" s="128"/>
      <c r="L41" s="129"/>
      <c r="M41" s="83">
        <f t="shared" ref="M41:M72" ca="1" si="55">IF(G41&lt;&gt;"",G41,IF(F41&lt;&gt;"",IFERROR(WORKDAY.INTL(INDEX(N:N,MATCH(F41,B:B,0)),1,weekend,holidays)," - "),IF(H41&lt;&gt;"",IF(I41&lt;&gt;"",WORKDAY.INTL(H41,-(MAX(I41,1)-1),weekend,holidays),H41-(MAX(J41,1)-1))," - ")))</f>
        <v>42531</v>
      </c>
      <c r="N41" s="83">
        <f t="shared" ca="1" si="52"/>
        <v>42544</v>
      </c>
      <c r="O41" s="85">
        <f t="shared" si="53"/>
        <v>10</v>
      </c>
      <c r="P41" s="85">
        <f t="shared" ca="1" si="54"/>
        <v>14</v>
      </c>
      <c r="Q41" s="65"/>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7"/>
    </row>
    <row r="42" spans="1:74" s="68" customFormat="1" hidden="1" outlineLevel="1" x14ac:dyDescent="0.35">
      <c r="A42" s="86">
        <v>2</v>
      </c>
      <c r="B42" s="80" t="str">
        <f t="shared" ca="1" si="51"/>
        <v>6.2</v>
      </c>
      <c r="C42" s="122" t="s">
        <v>289</v>
      </c>
      <c r="D42" s="122"/>
      <c r="E42" s="123"/>
      <c r="F42" s="124" t="str">
        <f ca="1">B39</f>
        <v>5.6</v>
      </c>
      <c r="G42" s="125"/>
      <c r="H42" s="126"/>
      <c r="I42" s="127">
        <v>5</v>
      </c>
      <c r="J42" s="127"/>
      <c r="K42" s="128"/>
      <c r="L42" s="129"/>
      <c r="M42" s="83">
        <f t="shared" ca="1" si="55"/>
        <v>42531</v>
      </c>
      <c r="N42" s="83">
        <f t="shared" ca="1" si="52"/>
        <v>42537</v>
      </c>
      <c r="O42" s="85">
        <f t="shared" si="53"/>
        <v>5</v>
      </c>
      <c r="P42" s="85">
        <f t="shared" ca="1" si="54"/>
        <v>7</v>
      </c>
      <c r="Q42" s="65"/>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7"/>
    </row>
    <row r="43" spans="1:74" s="68" customFormat="1" hidden="1" outlineLevel="1" x14ac:dyDescent="0.35">
      <c r="A43" s="86">
        <v>2</v>
      </c>
      <c r="B43" s="80" t="str">
        <f t="shared" ca="1" si="51"/>
        <v>6.3</v>
      </c>
      <c r="C43" s="122" t="s">
        <v>290</v>
      </c>
      <c r="D43" s="122"/>
      <c r="E43" s="123"/>
      <c r="F43" s="124" t="str">
        <f t="shared" ref="F43" ca="1" si="56">B42</f>
        <v>6.2</v>
      </c>
      <c r="G43" s="125"/>
      <c r="H43" s="126"/>
      <c r="I43" s="127">
        <v>2</v>
      </c>
      <c r="J43" s="127"/>
      <c r="K43" s="128"/>
      <c r="L43" s="129"/>
      <c r="M43" s="83">
        <f t="shared" ca="1" si="55"/>
        <v>42538</v>
      </c>
      <c r="N43" s="83">
        <f t="shared" ca="1" si="52"/>
        <v>42541</v>
      </c>
      <c r="O43" s="85">
        <f t="shared" si="53"/>
        <v>2</v>
      </c>
      <c r="P43" s="85">
        <f t="shared" ca="1" si="54"/>
        <v>4</v>
      </c>
      <c r="Q43" s="65"/>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7"/>
    </row>
    <row r="44" spans="1:74" s="105" customFormat="1" collapsed="1" x14ac:dyDescent="0.35">
      <c r="A44" s="99">
        <v>1</v>
      </c>
      <c r="B44" s="111" t="str">
        <f t="shared" ref="B44" ca="1" si="57">IF(A44="","",IF(A44&gt;OFFSET(A44,-1,0,1,1),IF(OFFSET(B44,-1,0,1,1)="","1",OFFSET(B44,-1,0,1,1))&amp;REPT(".1",A44-MAX(OFFSET(A44,-1,0,1,1),1)),IF(ISERROR(FIND(".",OFFSET(B44,-1,0,1,1))),REPT("1.",A44-1)&amp;IFERROR(VALUE(OFFSET(B44,-1,0,1,1))+1,"1"),IF(A44=1,"",IFERROR(LEFT(OFFSET(B44,-1,0,1,1),FIND("^",SUBSTITUTE(OFFSET(B44,-1,0,1,1),".","^",A44-1))),""))&amp;VALUE(TRIM(MID(SUBSTITUTE(OFFSET(B44,-1,0,1,1),".",REPT(" ",LEN(OFFSET(B44,-1,0,1,1)))),(A44-1)*LEN(OFFSET(B44,-1,0,1,1))+1,LEN(OFFSET(B44,-1,0,1,1)))))+1)))</f>
        <v>7</v>
      </c>
      <c r="C44" s="130" t="s">
        <v>291</v>
      </c>
      <c r="D44" s="131"/>
      <c r="E44" s="132"/>
      <c r="F44" s="133"/>
      <c r="G44" s="134">
        <f ca="1">MIN(M45:M51)</f>
        <v>42500</v>
      </c>
      <c r="H44" s="134">
        <f ca="1">MAX(N45:N51)</f>
        <v>42509</v>
      </c>
      <c r="I44" s="101"/>
      <c r="J44" s="101"/>
      <c r="K44" s="135"/>
      <c r="L44" s="136" t="s">
        <v>28</v>
      </c>
      <c r="M44" s="100">
        <f t="shared" ca="1" si="55"/>
        <v>42500</v>
      </c>
      <c r="N44" s="100">
        <f t="shared" ref="N44" ca="1" si="58">IF(H44&lt;&gt;"",H44,IF(M44=" - "," - ",IF(I44&lt;&gt;"",WORKDAY.INTL(M44,I44-1,weekend,holidays),M44+MAX(J44,1)-1)))</f>
        <v>42509</v>
      </c>
      <c r="O44" s="101">
        <f t="shared" ref="O44" ca="1" si="59">IF(I44&lt;&gt;"",I44,IF(OR(NOT(ISNUMBER(M44)),NOT(ISNUMBER(N44)))," - ",NETWORKDAYS.INTL(M44,N44,weekend,holidays)))</f>
        <v>8</v>
      </c>
      <c r="P44" s="101">
        <f t="shared" ref="P44" ca="1" si="60">IF(J44&lt;&gt;"",J44,IF(OR(NOT(ISNUMBER(M44)),NOT(ISNUMBER(N44)))," - ",N44-M44+1))</f>
        <v>10</v>
      </c>
      <c r="Q44" s="102"/>
      <c r="R44" s="103"/>
      <c r="S44" s="103"/>
      <c r="T44" s="103"/>
      <c r="U44" s="103"/>
      <c r="V44" s="103"/>
      <c r="W44" s="103"/>
      <c r="X44" s="103"/>
      <c r="Y44" s="103"/>
      <c r="Z44" s="103"/>
      <c r="AA44" s="103"/>
      <c r="AB44" s="103"/>
      <c r="AC44" s="103"/>
      <c r="AD44" s="103"/>
      <c r="AE44" s="103"/>
      <c r="AF44" s="103"/>
      <c r="AG44" s="103"/>
      <c r="AH44" s="103"/>
      <c r="AI44" s="103"/>
      <c r="AJ44" s="103"/>
      <c r="AK44" s="103"/>
      <c r="AL44" s="103"/>
      <c r="AM44" s="103"/>
      <c r="AN44" s="103"/>
      <c r="AO44" s="103"/>
      <c r="AP44" s="103"/>
      <c r="AQ44" s="103"/>
      <c r="AR44" s="103"/>
      <c r="AS44" s="103"/>
      <c r="AT44" s="103"/>
      <c r="AU44" s="103"/>
      <c r="AV44" s="103"/>
      <c r="AW44" s="103"/>
      <c r="AX44" s="103"/>
      <c r="AY44" s="103"/>
      <c r="AZ44" s="103"/>
      <c r="BA44" s="103"/>
      <c r="BB44" s="103"/>
      <c r="BC44" s="103"/>
      <c r="BD44" s="103"/>
      <c r="BE44" s="103"/>
      <c r="BF44" s="103"/>
      <c r="BG44" s="103"/>
      <c r="BH44" s="103"/>
      <c r="BI44" s="103"/>
      <c r="BJ44" s="103"/>
      <c r="BK44" s="103"/>
      <c r="BL44" s="103"/>
      <c r="BM44" s="103"/>
      <c r="BN44" s="103"/>
      <c r="BO44" s="103"/>
      <c r="BP44" s="103"/>
      <c r="BQ44" s="103"/>
      <c r="BR44" s="103"/>
      <c r="BS44" s="103"/>
      <c r="BT44" s="103"/>
      <c r="BU44" s="103"/>
      <c r="BV44" s="104"/>
    </row>
    <row r="45" spans="1:74" s="68" customFormat="1" hidden="1" outlineLevel="1" x14ac:dyDescent="0.35">
      <c r="A45" s="86">
        <v>2</v>
      </c>
      <c r="B45" s="80" t="str">
        <f t="shared" ref="B45:B54" ca="1" si="61">IF(A45="","",IF(A45&gt;OFFSET(A45,-1,0,1,1),IF(OFFSET(B45,-1,0,1,1)="","1",OFFSET(B45,-1,0,1,1))&amp;REPT(".1",A45-MAX(OFFSET(A45,-1,0,1,1),1)),IF(ISERROR(FIND(".",OFFSET(B45,-1,0,1,1))),REPT("1.",A45-1)&amp;IFERROR(VALUE(OFFSET(B45,-1,0,1,1))+1,"1"),IF(A45=1,"",IFERROR(LEFT(OFFSET(B45,-1,0,1,1),FIND("^",SUBSTITUTE(OFFSET(B45,-1,0,1,1),".","^",A45-1))),""))&amp;VALUE(TRIM(MID(SUBSTITUTE(OFFSET(B45,-1,0,1,1),".",REPT(" ",LEN(OFFSET(B45,-1,0,1,1)))),(A45-1)*LEN(OFFSET(B45,-1,0,1,1))+1,LEN(OFFSET(B45,-1,0,1,1)))))+1)))</f>
        <v>7.1</v>
      </c>
      <c r="C45" s="122" t="s">
        <v>292</v>
      </c>
      <c r="D45" s="122"/>
      <c r="E45" s="123"/>
      <c r="F45" s="124" t="str">
        <f ca="1">B25</f>
        <v>4</v>
      </c>
      <c r="G45" s="125"/>
      <c r="H45" s="126"/>
      <c r="I45" s="127">
        <v>4</v>
      </c>
      <c r="J45" s="127"/>
      <c r="K45" s="128"/>
      <c r="L45" s="129"/>
      <c r="M45" s="83">
        <f t="shared" ca="1" si="55"/>
        <v>42500</v>
      </c>
      <c r="N45" s="83">
        <f t="shared" ref="N45:N54" ca="1" si="62">IF(H45&lt;&gt;"",H45,IF(M45=" - "," - ",IF(I45&lt;&gt;"",WORKDAY.INTL(M45,I45-1,weekend,holidays),M45+MAX(J45,1)-1)))</f>
        <v>42503</v>
      </c>
      <c r="O45" s="85">
        <f t="shared" ref="O45:O54" si="63">IF(I45&lt;&gt;"",I45,IF(OR(NOT(ISNUMBER(M45)),NOT(ISNUMBER(N45)))," - ",NETWORKDAYS.INTL(M45,N45,weekend,holidays)))</f>
        <v>4</v>
      </c>
      <c r="P45" s="85">
        <f t="shared" ref="P45:P54" ca="1" si="64">IF(J45&lt;&gt;"",J45,IF(OR(NOT(ISNUMBER(M45)),NOT(ISNUMBER(N45)))," - ",N45-M45+1))</f>
        <v>4</v>
      </c>
      <c r="Q45" s="65"/>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7"/>
    </row>
    <row r="46" spans="1:74" s="68" customFormat="1" hidden="1" outlineLevel="1" x14ac:dyDescent="0.35">
      <c r="A46" s="86">
        <v>2</v>
      </c>
      <c r="B46" s="80" t="str">
        <f t="shared" ca="1" si="61"/>
        <v>7.2</v>
      </c>
      <c r="C46" s="122" t="s">
        <v>293</v>
      </c>
      <c r="D46" s="122"/>
      <c r="E46" s="123"/>
      <c r="F46" s="124" t="str">
        <f t="shared" ref="F46:F50" ca="1" si="65">B45</f>
        <v>7.1</v>
      </c>
      <c r="G46" s="125"/>
      <c r="H46" s="126"/>
      <c r="I46" s="127">
        <v>2</v>
      </c>
      <c r="J46" s="127"/>
      <c r="K46" s="128"/>
      <c r="L46" s="129"/>
      <c r="M46" s="83">
        <f t="shared" ca="1" si="55"/>
        <v>42506</v>
      </c>
      <c r="N46" s="83">
        <f t="shared" ca="1" si="62"/>
        <v>42507</v>
      </c>
      <c r="O46" s="85">
        <f t="shared" si="63"/>
        <v>2</v>
      </c>
      <c r="P46" s="85">
        <f t="shared" ca="1" si="64"/>
        <v>2</v>
      </c>
      <c r="Q46" s="65"/>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7"/>
    </row>
    <row r="47" spans="1:74" s="68" customFormat="1" hidden="1" outlineLevel="1" x14ac:dyDescent="0.35">
      <c r="A47" s="86">
        <v>2</v>
      </c>
      <c r="B47" s="80" t="str">
        <f t="shared" ca="1" si="61"/>
        <v>7.3</v>
      </c>
      <c r="C47" s="122" t="s">
        <v>294</v>
      </c>
      <c r="D47" s="122"/>
      <c r="E47" s="123"/>
      <c r="F47" s="124" t="str">
        <f ca="1">B25</f>
        <v>4</v>
      </c>
      <c r="G47" s="125"/>
      <c r="H47" s="126"/>
      <c r="I47" s="127">
        <v>5</v>
      </c>
      <c r="J47" s="127"/>
      <c r="K47" s="128"/>
      <c r="L47" s="129"/>
      <c r="M47" s="83">
        <f t="shared" ca="1" si="55"/>
        <v>42500</v>
      </c>
      <c r="N47" s="83">
        <f t="shared" ca="1" si="62"/>
        <v>42506</v>
      </c>
      <c r="O47" s="85">
        <f t="shared" si="63"/>
        <v>5</v>
      </c>
      <c r="P47" s="85">
        <f t="shared" ca="1" si="64"/>
        <v>7</v>
      </c>
      <c r="Q47" s="65"/>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7"/>
    </row>
    <row r="48" spans="1:74" s="68" customFormat="1" hidden="1" outlineLevel="1" x14ac:dyDescent="0.35">
      <c r="A48" s="86">
        <v>2</v>
      </c>
      <c r="B48" s="80" t="str">
        <f t="shared" ca="1" si="61"/>
        <v>7.4</v>
      </c>
      <c r="C48" s="122" t="s">
        <v>295</v>
      </c>
      <c r="D48" s="122"/>
      <c r="E48" s="123"/>
      <c r="F48" s="124" t="str">
        <f t="shared" ca="1" si="65"/>
        <v>7.3</v>
      </c>
      <c r="G48" s="125"/>
      <c r="H48" s="126"/>
      <c r="I48" s="127">
        <v>2</v>
      </c>
      <c r="J48" s="127"/>
      <c r="K48" s="128"/>
      <c r="L48" s="129"/>
      <c r="M48" s="83">
        <f t="shared" ca="1" si="55"/>
        <v>42507</v>
      </c>
      <c r="N48" s="83">
        <f t="shared" ca="1" si="62"/>
        <v>42508</v>
      </c>
      <c r="O48" s="85">
        <f t="shared" si="63"/>
        <v>2</v>
      </c>
      <c r="P48" s="85">
        <f t="shared" ca="1" si="64"/>
        <v>2</v>
      </c>
      <c r="Q48" s="65"/>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7"/>
    </row>
    <row r="49" spans="1:74" s="68" customFormat="1" hidden="1" outlineLevel="1" x14ac:dyDescent="0.35">
      <c r="A49" s="86">
        <v>2</v>
      </c>
      <c r="B49" s="80" t="str">
        <f t="shared" ca="1" si="61"/>
        <v>7.5</v>
      </c>
      <c r="C49" s="122" t="s">
        <v>296</v>
      </c>
      <c r="D49" s="122"/>
      <c r="E49" s="123"/>
      <c r="F49" s="124" t="str">
        <f ca="1">B25</f>
        <v>4</v>
      </c>
      <c r="G49" s="125"/>
      <c r="H49" s="126"/>
      <c r="I49" s="127">
        <v>4</v>
      </c>
      <c r="J49" s="127"/>
      <c r="K49" s="128"/>
      <c r="L49" s="129"/>
      <c r="M49" s="83">
        <f t="shared" ca="1" si="55"/>
        <v>42500</v>
      </c>
      <c r="N49" s="83">
        <f t="shared" ca="1" si="62"/>
        <v>42503</v>
      </c>
      <c r="O49" s="85">
        <f t="shared" si="63"/>
        <v>4</v>
      </c>
      <c r="P49" s="85">
        <f t="shared" ca="1" si="64"/>
        <v>4</v>
      </c>
      <c r="Q49" s="65"/>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7"/>
    </row>
    <row r="50" spans="1:74" s="68" customFormat="1" hidden="1" outlineLevel="1" x14ac:dyDescent="0.35">
      <c r="A50" s="86">
        <v>2</v>
      </c>
      <c r="B50" s="80" t="str">
        <f t="shared" ca="1" si="61"/>
        <v>7.6</v>
      </c>
      <c r="C50" s="122" t="s">
        <v>297</v>
      </c>
      <c r="D50" s="122"/>
      <c r="E50" s="123"/>
      <c r="F50" s="124" t="str">
        <f t="shared" ca="1" si="65"/>
        <v>7.5</v>
      </c>
      <c r="G50" s="125"/>
      <c r="H50" s="126"/>
      <c r="I50" s="127">
        <v>2</v>
      </c>
      <c r="J50" s="127"/>
      <c r="K50" s="128"/>
      <c r="L50" s="129"/>
      <c r="M50" s="83">
        <f t="shared" ca="1" si="55"/>
        <v>42506</v>
      </c>
      <c r="N50" s="83">
        <f t="shared" ca="1" si="62"/>
        <v>42507</v>
      </c>
      <c r="O50" s="85">
        <f t="shared" si="63"/>
        <v>2</v>
      </c>
      <c r="P50" s="85">
        <f t="shared" ca="1" si="64"/>
        <v>2</v>
      </c>
      <c r="Q50" s="65"/>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7"/>
    </row>
    <row r="51" spans="1:74" s="68" customFormat="1" hidden="1" outlineLevel="1" x14ac:dyDescent="0.35">
      <c r="A51" s="86">
        <v>2</v>
      </c>
      <c r="B51" s="80" t="str">
        <f t="shared" ca="1" si="61"/>
        <v>7.7</v>
      </c>
      <c r="C51" s="122" t="s">
        <v>298</v>
      </c>
      <c r="D51" s="122"/>
      <c r="E51" s="123"/>
      <c r="F51" s="124" t="str">
        <f ca="1">B47</f>
        <v>7.3</v>
      </c>
      <c r="G51" s="125"/>
      <c r="H51" s="126"/>
      <c r="I51" s="127">
        <v>3</v>
      </c>
      <c r="J51" s="127"/>
      <c r="K51" s="128"/>
      <c r="L51" s="129"/>
      <c r="M51" s="83">
        <f t="shared" ca="1" si="55"/>
        <v>42507</v>
      </c>
      <c r="N51" s="83">
        <f t="shared" ca="1" si="62"/>
        <v>42509</v>
      </c>
      <c r="O51" s="85">
        <f t="shared" si="63"/>
        <v>3</v>
      </c>
      <c r="P51" s="85">
        <f t="shared" ca="1" si="64"/>
        <v>3</v>
      </c>
      <c r="Q51" s="65"/>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7"/>
    </row>
    <row r="52" spans="1:74" s="105" customFormat="1" collapsed="1" x14ac:dyDescent="0.35">
      <c r="A52" s="99">
        <v>1</v>
      </c>
      <c r="B52" s="111" t="str">
        <f t="shared" ca="1" si="61"/>
        <v>8</v>
      </c>
      <c r="C52" s="130" t="s">
        <v>299</v>
      </c>
      <c r="D52" s="131"/>
      <c r="E52" s="132"/>
      <c r="F52" s="133"/>
      <c r="G52" s="134">
        <f ca="1">MIN(M53:M81)</f>
        <v>42510</v>
      </c>
      <c r="H52" s="134">
        <f ca="1">MAX(N53:N81)</f>
        <v>42600</v>
      </c>
      <c r="I52" s="101"/>
      <c r="J52" s="101"/>
      <c r="K52" s="135"/>
      <c r="L52" s="136" t="s">
        <v>28</v>
      </c>
      <c r="M52" s="100">
        <f t="shared" ca="1" si="55"/>
        <v>42510</v>
      </c>
      <c r="N52" s="100">
        <f t="shared" ca="1" si="62"/>
        <v>42600</v>
      </c>
      <c r="O52" s="101">
        <f t="shared" ca="1" si="63"/>
        <v>62</v>
      </c>
      <c r="P52" s="101">
        <f t="shared" ca="1" si="64"/>
        <v>91</v>
      </c>
      <c r="Q52" s="102"/>
      <c r="R52" s="103"/>
      <c r="S52" s="103"/>
      <c r="T52" s="103"/>
      <c r="U52" s="103"/>
      <c r="V52" s="103"/>
      <c r="W52" s="103"/>
      <c r="X52" s="103"/>
      <c r="Y52" s="103"/>
      <c r="Z52" s="103"/>
      <c r="AA52" s="103"/>
      <c r="AB52" s="103"/>
      <c r="AC52" s="103"/>
      <c r="AD52" s="103"/>
      <c r="AE52" s="103"/>
      <c r="AF52" s="103"/>
      <c r="AG52" s="103"/>
      <c r="AH52" s="103"/>
      <c r="AI52" s="103"/>
      <c r="AJ52" s="103"/>
      <c r="AK52" s="103"/>
      <c r="AL52" s="103"/>
      <c r="AM52" s="103"/>
      <c r="AN52" s="103"/>
      <c r="AO52" s="103"/>
      <c r="AP52" s="103"/>
      <c r="AQ52" s="103"/>
      <c r="AR52" s="103"/>
      <c r="AS52" s="103"/>
      <c r="AT52" s="103"/>
      <c r="AU52" s="103"/>
      <c r="AV52" s="103"/>
      <c r="AW52" s="103"/>
      <c r="AX52" s="103"/>
      <c r="AY52" s="103"/>
      <c r="AZ52" s="103"/>
      <c r="BA52" s="103"/>
      <c r="BB52" s="103"/>
      <c r="BC52" s="103"/>
      <c r="BD52" s="103"/>
      <c r="BE52" s="103"/>
      <c r="BF52" s="103"/>
      <c r="BG52" s="103"/>
      <c r="BH52" s="103"/>
      <c r="BI52" s="103"/>
      <c r="BJ52" s="103"/>
      <c r="BK52" s="103"/>
      <c r="BL52" s="103"/>
      <c r="BM52" s="103"/>
      <c r="BN52" s="103"/>
      <c r="BO52" s="103"/>
      <c r="BP52" s="103"/>
      <c r="BQ52" s="103"/>
      <c r="BR52" s="103"/>
      <c r="BS52" s="103"/>
      <c r="BT52" s="103"/>
      <c r="BU52" s="103"/>
      <c r="BV52" s="104"/>
    </row>
    <row r="53" spans="1:74" s="68" customFormat="1" hidden="1" outlineLevel="1" x14ac:dyDescent="0.35">
      <c r="A53" s="86">
        <v>2</v>
      </c>
      <c r="B53" s="80" t="str">
        <f t="shared" ca="1" si="61"/>
        <v>8.1</v>
      </c>
      <c r="C53" s="122" t="s">
        <v>300</v>
      </c>
      <c r="D53" s="122"/>
      <c r="E53" s="123"/>
      <c r="F53" s="124" t="str">
        <f ca="1">B44</f>
        <v>7</v>
      </c>
      <c r="G53" s="125"/>
      <c r="H53" s="126"/>
      <c r="I53" s="127">
        <v>2</v>
      </c>
      <c r="J53" s="127"/>
      <c r="K53" s="128"/>
      <c r="L53" s="129"/>
      <c r="M53" s="83">
        <f t="shared" ca="1" si="55"/>
        <v>42510</v>
      </c>
      <c r="N53" s="83">
        <f t="shared" ca="1" si="62"/>
        <v>42513</v>
      </c>
      <c r="O53" s="85">
        <f t="shared" si="63"/>
        <v>2</v>
      </c>
      <c r="P53" s="85">
        <f t="shared" ca="1" si="64"/>
        <v>4</v>
      </c>
      <c r="Q53" s="65"/>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7"/>
    </row>
    <row r="54" spans="1:74" s="68" customFormat="1" hidden="1" outlineLevel="1" x14ac:dyDescent="0.35">
      <c r="A54" s="86">
        <v>2</v>
      </c>
      <c r="B54" s="80" t="str">
        <f t="shared" ca="1" si="61"/>
        <v>8.2</v>
      </c>
      <c r="C54" s="122" t="s">
        <v>301</v>
      </c>
      <c r="D54" s="122"/>
      <c r="E54" s="123"/>
      <c r="F54" s="124" t="str">
        <f ca="1">B53</f>
        <v>8.1</v>
      </c>
      <c r="G54" s="125"/>
      <c r="H54" s="126"/>
      <c r="I54" s="127">
        <v>2</v>
      </c>
      <c r="J54" s="127"/>
      <c r="K54" s="128"/>
      <c r="L54" s="129"/>
      <c r="M54" s="83">
        <f t="shared" ca="1" si="55"/>
        <v>42514</v>
      </c>
      <c r="N54" s="83">
        <f t="shared" ca="1" si="62"/>
        <v>42515</v>
      </c>
      <c r="O54" s="85">
        <f t="shared" si="63"/>
        <v>2</v>
      </c>
      <c r="P54" s="85">
        <f t="shared" ca="1" si="64"/>
        <v>2</v>
      </c>
      <c r="Q54" s="65"/>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7"/>
    </row>
    <row r="55" spans="1:74" s="68" customFormat="1" hidden="1" outlineLevel="1" x14ac:dyDescent="0.35">
      <c r="A55" s="86">
        <v>2</v>
      </c>
      <c r="B55" s="80" t="str">
        <f t="shared" ref="B55:B87" ca="1" si="66">IF(A55="","",IF(A55&gt;OFFSET(A55,-1,0,1,1),IF(OFFSET(B55,-1,0,1,1)="","1",OFFSET(B55,-1,0,1,1))&amp;REPT(".1",A55-MAX(OFFSET(A55,-1,0,1,1),1)),IF(ISERROR(FIND(".",OFFSET(B55,-1,0,1,1))),REPT("1.",A55-1)&amp;IFERROR(VALUE(OFFSET(B55,-1,0,1,1))+1,"1"),IF(A55=1,"",IFERROR(LEFT(OFFSET(B55,-1,0,1,1),FIND("^",SUBSTITUTE(OFFSET(B55,-1,0,1,1),".","^",A55-1))),""))&amp;VALUE(TRIM(MID(SUBSTITUTE(OFFSET(B55,-1,0,1,1),".",REPT(" ",LEN(OFFSET(B55,-1,0,1,1)))),(A55-1)*LEN(OFFSET(B55,-1,0,1,1))+1,LEN(OFFSET(B55,-1,0,1,1)))))+1)))</f>
        <v>8.3</v>
      </c>
      <c r="C55" s="122" t="s">
        <v>302</v>
      </c>
      <c r="D55" s="122"/>
      <c r="E55" s="123"/>
      <c r="F55" s="124" t="str">
        <f t="shared" ref="F55:F81" ca="1" si="67">B54</f>
        <v>8.2</v>
      </c>
      <c r="G55" s="125"/>
      <c r="H55" s="126"/>
      <c r="I55" s="127">
        <v>1</v>
      </c>
      <c r="J55" s="127"/>
      <c r="K55" s="128"/>
      <c r="L55" s="129"/>
      <c r="M55" s="83">
        <f t="shared" ca="1" si="55"/>
        <v>42516</v>
      </c>
      <c r="N55" s="83">
        <f t="shared" ref="N55:N87" ca="1" si="68">IF(H55&lt;&gt;"",H55,IF(M55=" - "," - ",IF(I55&lt;&gt;"",WORKDAY.INTL(M55,I55-1,weekend,holidays),M55+MAX(J55,1)-1)))</f>
        <v>42516</v>
      </c>
      <c r="O55" s="85">
        <f t="shared" ref="O55:O87" si="69">IF(I55&lt;&gt;"",I55,IF(OR(NOT(ISNUMBER(M55)),NOT(ISNUMBER(N55)))," - ",NETWORKDAYS.INTL(M55,N55,weekend,holidays)))</f>
        <v>1</v>
      </c>
      <c r="P55" s="85">
        <f t="shared" ref="P55:P87" ca="1" si="70">IF(J55&lt;&gt;"",J55,IF(OR(NOT(ISNUMBER(M55)),NOT(ISNUMBER(N55)))," - ",N55-M55+1))</f>
        <v>1</v>
      </c>
      <c r="Q55" s="65"/>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c r="BV55" s="67"/>
    </row>
    <row r="56" spans="1:74" s="68" customFormat="1" hidden="1" outlineLevel="1" x14ac:dyDescent="0.35">
      <c r="A56" s="86">
        <v>2</v>
      </c>
      <c r="B56" s="80" t="str">
        <f t="shared" ca="1" si="66"/>
        <v>8.4</v>
      </c>
      <c r="C56" s="122" t="s">
        <v>303</v>
      </c>
      <c r="D56" s="122"/>
      <c r="E56" s="123"/>
      <c r="F56" s="124" t="str">
        <f t="shared" ca="1" si="67"/>
        <v>8.3</v>
      </c>
      <c r="G56" s="125"/>
      <c r="H56" s="126"/>
      <c r="I56" s="127">
        <v>1</v>
      </c>
      <c r="J56" s="127"/>
      <c r="K56" s="128"/>
      <c r="L56" s="129"/>
      <c r="M56" s="83">
        <f t="shared" ca="1" si="55"/>
        <v>42517</v>
      </c>
      <c r="N56" s="83">
        <f t="shared" ca="1" si="68"/>
        <v>42517</v>
      </c>
      <c r="O56" s="85">
        <f t="shared" si="69"/>
        <v>1</v>
      </c>
      <c r="P56" s="85">
        <f t="shared" ca="1" si="70"/>
        <v>1</v>
      </c>
      <c r="Q56" s="65"/>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7"/>
    </row>
    <row r="57" spans="1:74" s="68" customFormat="1" hidden="1" outlineLevel="1" x14ac:dyDescent="0.35">
      <c r="A57" s="86">
        <v>2</v>
      </c>
      <c r="B57" s="80" t="str">
        <f t="shared" ca="1" si="66"/>
        <v>8.5</v>
      </c>
      <c r="C57" s="122" t="s">
        <v>304</v>
      </c>
      <c r="D57" s="122"/>
      <c r="E57" s="123"/>
      <c r="F57" s="124" t="str">
        <f t="shared" ca="1" si="67"/>
        <v>8.4</v>
      </c>
      <c r="G57" s="125"/>
      <c r="H57" s="126"/>
      <c r="I57" s="127">
        <v>6</v>
      </c>
      <c r="J57" s="127"/>
      <c r="K57" s="128"/>
      <c r="L57" s="129"/>
      <c r="M57" s="83">
        <f t="shared" ca="1" si="55"/>
        <v>42521</v>
      </c>
      <c r="N57" s="83">
        <f t="shared" ca="1" si="68"/>
        <v>42528</v>
      </c>
      <c r="O57" s="85">
        <f t="shared" si="69"/>
        <v>6</v>
      </c>
      <c r="P57" s="85">
        <f t="shared" ca="1" si="70"/>
        <v>8</v>
      </c>
      <c r="Q57" s="65"/>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7"/>
    </row>
    <row r="58" spans="1:74" s="68" customFormat="1" hidden="1" outlineLevel="1" x14ac:dyDescent="0.35">
      <c r="A58" s="86">
        <v>2</v>
      </c>
      <c r="B58" s="80" t="str">
        <f t="shared" ca="1" si="66"/>
        <v>8.6</v>
      </c>
      <c r="C58" s="122" t="s">
        <v>305</v>
      </c>
      <c r="D58" s="122"/>
      <c r="E58" s="123"/>
      <c r="F58" s="124" t="str">
        <f t="shared" ca="1" si="67"/>
        <v>8.5</v>
      </c>
      <c r="G58" s="125"/>
      <c r="H58" s="126"/>
      <c r="I58" s="127">
        <v>6</v>
      </c>
      <c r="J58" s="127"/>
      <c r="K58" s="128"/>
      <c r="L58" s="129"/>
      <c r="M58" s="83">
        <f t="shared" ca="1" si="55"/>
        <v>42529</v>
      </c>
      <c r="N58" s="83">
        <f t="shared" ca="1" si="68"/>
        <v>42536</v>
      </c>
      <c r="O58" s="85">
        <f t="shared" si="69"/>
        <v>6</v>
      </c>
      <c r="P58" s="85">
        <f t="shared" ca="1" si="70"/>
        <v>8</v>
      </c>
      <c r="Q58" s="65"/>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7"/>
    </row>
    <row r="59" spans="1:74" s="68" customFormat="1" hidden="1" outlineLevel="1" x14ac:dyDescent="0.35">
      <c r="A59" s="86">
        <v>2</v>
      </c>
      <c r="B59" s="80" t="str">
        <f t="shared" ca="1" si="66"/>
        <v>8.7</v>
      </c>
      <c r="C59" s="122" t="s">
        <v>306</v>
      </c>
      <c r="D59" s="122"/>
      <c r="E59" s="123"/>
      <c r="F59" s="124" t="str">
        <f t="shared" ca="1" si="67"/>
        <v>8.6</v>
      </c>
      <c r="G59" s="125"/>
      <c r="H59" s="126"/>
      <c r="I59" s="127">
        <v>3</v>
      </c>
      <c r="J59" s="127"/>
      <c r="K59" s="128"/>
      <c r="L59" s="129"/>
      <c r="M59" s="83">
        <f t="shared" ca="1" si="55"/>
        <v>42537</v>
      </c>
      <c r="N59" s="83">
        <f t="shared" ca="1" si="68"/>
        <v>42541</v>
      </c>
      <c r="O59" s="85">
        <f t="shared" si="69"/>
        <v>3</v>
      </c>
      <c r="P59" s="85">
        <f t="shared" ca="1" si="70"/>
        <v>5</v>
      </c>
      <c r="Q59" s="65"/>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7"/>
    </row>
    <row r="60" spans="1:74" s="68" customFormat="1" hidden="1" outlineLevel="1" x14ac:dyDescent="0.35">
      <c r="A60" s="86">
        <v>2</v>
      </c>
      <c r="B60" s="80" t="str">
        <f t="shared" ca="1" si="66"/>
        <v>8.8</v>
      </c>
      <c r="C60" s="122" t="s">
        <v>307</v>
      </c>
      <c r="D60" s="122"/>
      <c r="E60" s="123"/>
      <c r="F60" s="124" t="str">
        <f t="shared" ca="1" si="67"/>
        <v>8.7</v>
      </c>
      <c r="G60" s="125"/>
      <c r="H60" s="126"/>
      <c r="I60" s="127">
        <v>3</v>
      </c>
      <c r="J60" s="127"/>
      <c r="K60" s="128"/>
      <c r="L60" s="129"/>
      <c r="M60" s="83">
        <f t="shared" ca="1" si="55"/>
        <v>42542</v>
      </c>
      <c r="N60" s="83">
        <f t="shared" ca="1" si="68"/>
        <v>42544</v>
      </c>
      <c r="O60" s="85">
        <f t="shared" si="69"/>
        <v>3</v>
      </c>
      <c r="P60" s="85">
        <f t="shared" ca="1" si="70"/>
        <v>3</v>
      </c>
      <c r="Q60" s="65"/>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7"/>
    </row>
    <row r="61" spans="1:74" s="68" customFormat="1" hidden="1" outlineLevel="1" x14ac:dyDescent="0.35">
      <c r="A61" s="86">
        <v>2</v>
      </c>
      <c r="B61" s="80" t="str">
        <f t="shared" ca="1" si="66"/>
        <v>8.9</v>
      </c>
      <c r="C61" s="122" t="s">
        <v>308</v>
      </c>
      <c r="D61" s="122"/>
      <c r="E61" s="123"/>
      <c r="F61" s="124" t="str">
        <f t="shared" ca="1" si="67"/>
        <v>8.8</v>
      </c>
      <c r="G61" s="125"/>
      <c r="H61" s="126"/>
      <c r="I61" s="127">
        <v>3</v>
      </c>
      <c r="J61" s="127"/>
      <c r="K61" s="128"/>
      <c r="L61" s="129"/>
      <c r="M61" s="83">
        <f t="shared" ca="1" si="55"/>
        <v>42545</v>
      </c>
      <c r="N61" s="83">
        <f t="shared" ca="1" si="68"/>
        <v>42549</v>
      </c>
      <c r="O61" s="85">
        <f t="shared" si="69"/>
        <v>3</v>
      </c>
      <c r="P61" s="85">
        <f t="shared" ca="1" si="70"/>
        <v>5</v>
      </c>
      <c r="Q61" s="65"/>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7"/>
    </row>
    <row r="62" spans="1:74" s="68" customFormat="1" hidden="1" outlineLevel="1" x14ac:dyDescent="0.35">
      <c r="A62" s="86">
        <v>2</v>
      </c>
      <c r="B62" s="80" t="str">
        <f t="shared" ca="1" si="66"/>
        <v>8.10</v>
      </c>
      <c r="C62" s="122" t="s">
        <v>309</v>
      </c>
      <c r="D62" s="122"/>
      <c r="E62" s="123"/>
      <c r="F62" s="124" t="str">
        <f t="shared" ca="1" si="67"/>
        <v>8.9</v>
      </c>
      <c r="G62" s="125"/>
      <c r="H62" s="126"/>
      <c r="I62" s="127">
        <v>3</v>
      </c>
      <c r="J62" s="127"/>
      <c r="K62" s="128"/>
      <c r="L62" s="129"/>
      <c r="M62" s="83">
        <f t="shared" ca="1" si="55"/>
        <v>42550</v>
      </c>
      <c r="N62" s="83">
        <f t="shared" ca="1" si="68"/>
        <v>42552</v>
      </c>
      <c r="O62" s="85">
        <f t="shared" si="69"/>
        <v>3</v>
      </c>
      <c r="P62" s="85">
        <f t="shared" ca="1" si="70"/>
        <v>3</v>
      </c>
      <c r="Q62" s="65"/>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7"/>
    </row>
    <row r="63" spans="1:74" s="68" customFormat="1" hidden="1" outlineLevel="1" x14ac:dyDescent="0.35">
      <c r="A63" s="86">
        <v>2</v>
      </c>
      <c r="B63" s="80" t="str">
        <f t="shared" ca="1" si="66"/>
        <v>8.11</v>
      </c>
      <c r="C63" s="122" t="s">
        <v>310</v>
      </c>
      <c r="D63" s="122"/>
      <c r="E63" s="123"/>
      <c r="F63" s="124" t="str">
        <f t="shared" ca="1" si="67"/>
        <v>8.10</v>
      </c>
      <c r="G63" s="125"/>
      <c r="H63" s="126"/>
      <c r="I63" s="127">
        <v>5</v>
      </c>
      <c r="J63" s="127"/>
      <c r="K63" s="128"/>
      <c r="L63" s="129"/>
      <c r="M63" s="83">
        <f t="shared" ca="1" si="55"/>
        <v>42556</v>
      </c>
      <c r="N63" s="83">
        <f t="shared" ca="1" si="68"/>
        <v>42562</v>
      </c>
      <c r="O63" s="85">
        <f t="shared" si="69"/>
        <v>5</v>
      </c>
      <c r="P63" s="85">
        <f t="shared" ca="1" si="70"/>
        <v>7</v>
      </c>
      <c r="Q63" s="65"/>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7"/>
    </row>
    <row r="64" spans="1:74" s="68" customFormat="1" hidden="1" outlineLevel="1" x14ac:dyDescent="0.35">
      <c r="A64" s="86">
        <v>2</v>
      </c>
      <c r="B64" s="80" t="str">
        <f t="shared" ca="1" si="66"/>
        <v>8.12</v>
      </c>
      <c r="C64" s="122" t="s">
        <v>311</v>
      </c>
      <c r="D64" s="122"/>
      <c r="E64" s="123"/>
      <c r="F64" s="124" t="str">
        <f t="shared" ca="1" si="67"/>
        <v>8.11</v>
      </c>
      <c r="G64" s="125"/>
      <c r="H64" s="126"/>
      <c r="I64" s="127">
        <v>5</v>
      </c>
      <c r="J64" s="127"/>
      <c r="K64" s="128"/>
      <c r="L64" s="129"/>
      <c r="M64" s="83">
        <f t="shared" ca="1" si="55"/>
        <v>42563</v>
      </c>
      <c r="N64" s="83">
        <f t="shared" ca="1" si="68"/>
        <v>42569</v>
      </c>
      <c r="O64" s="85">
        <f t="shared" si="69"/>
        <v>5</v>
      </c>
      <c r="P64" s="85">
        <f t="shared" ca="1" si="70"/>
        <v>7</v>
      </c>
      <c r="Q64" s="65"/>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7"/>
    </row>
    <row r="65" spans="1:74" s="68" customFormat="1" hidden="1" outlineLevel="1" x14ac:dyDescent="0.35">
      <c r="A65" s="86">
        <v>2</v>
      </c>
      <c r="B65" s="80" t="str">
        <f t="shared" ca="1" si="66"/>
        <v>8.13</v>
      </c>
      <c r="C65" s="122" t="s">
        <v>312</v>
      </c>
      <c r="D65" s="122"/>
      <c r="E65" s="123"/>
      <c r="F65" s="124" t="str">
        <f t="shared" ca="1" si="67"/>
        <v>8.12</v>
      </c>
      <c r="G65" s="125"/>
      <c r="H65" s="126"/>
      <c r="I65" s="127">
        <v>4</v>
      </c>
      <c r="J65" s="127"/>
      <c r="K65" s="128"/>
      <c r="L65" s="129"/>
      <c r="M65" s="83">
        <f t="shared" ca="1" si="55"/>
        <v>42570</v>
      </c>
      <c r="N65" s="83">
        <f t="shared" ca="1" si="68"/>
        <v>42573</v>
      </c>
      <c r="O65" s="85">
        <f t="shared" si="69"/>
        <v>4</v>
      </c>
      <c r="P65" s="85">
        <f t="shared" ca="1" si="70"/>
        <v>4</v>
      </c>
      <c r="Q65" s="65"/>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66"/>
      <c r="BL65" s="66"/>
      <c r="BM65" s="66"/>
      <c r="BN65" s="66"/>
      <c r="BO65" s="66"/>
      <c r="BP65" s="66"/>
      <c r="BQ65" s="66"/>
      <c r="BR65" s="66"/>
      <c r="BS65" s="66"/>
      <c r="BT65" s="66"/>
      <c r="BU65" s="66"/>
      <c r="BV65" s="67"/>
    </row>
    <row r="66" spans="1:74" s="68" customFormat="1" hidden="1" outlineLevel="1" x14ac:dyDescent="0.35">
      <c r="A66" s="86">
        <v>2</v>
      </c>
      <c r="B66" s="80" t="str">
        <f t="shared" ca="1" si="66"/>
        <v>8.14</v>
      </c>
      <c r="C66" s="122" t="s">
        <v>313</v>
      </c>
      <c r="D66" s="122"/>
      <c r="E66" s="123"/>
      <c r="F66" s="124" t="str">
        <f ca="1">B63</f>
        <v>8.11</v>
      </c>
      <c r="G66" s="125"/>
      <c r="H66" s="126"/>
      <c r="I66" s="127">
        <v>2</v>
      </c>
      <c r="J66" s="127"/>
      <c r="K66" s="128"/>
      <c r="L66" s="129"/>
      <c r="M66" s="83">
        <f t="shared" ca="1" si="55"/>
        <v>42563</v>
      </c>
      <c r="N66" s="83">
        <f t="shared" ca="1" si="68"/>
        <v>42564</v>
      </c>
      <c r="O66" s="85">
        <f t="shared" si="69"/>
        <v>2</v>
      </c>
      <c r="P66" s="85">
        <f t="shared" ca="1" si="70"/>
        <v>2</v>
      </c>
      <c r="Q66" s="65"/>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6"/>
      <c r="BS66" s="66"/>
      <c r="BT66" s="66"/>
      <c r="BU66" s="66"/>
      <c r="BV66" s="67"/>
    </row>
    <row r="67" spans="1:74" s="68" customFormat="1" hidden="1" outlineLevel="1" x14ac:dyDescent="0.35">
      <c r="A67" s="86">
        <v>2</v>
      </c>
      <c r="B67" s="80" t="str">
        <f t="shared" ca="1" si="66"/>
        <v>8.15</v>
      </c>
      <c r="C67" s="122" t="s">
        <v>314</v>
      </c>
      <c r="D67" s="122"/>
      <c r="E67" s="123"/>
      <c r="F67" s="124" t="str">
        <f t="shared" ca="1" si="67"/>
        <v>8.14</v>
      </c>
      <c r="G67" s="125"/>
      <c r="H67" s="126"/>
      <c r="I67" s="127">
        <v>2</v>
      </c>
      <c r="J67" s="127"/>
      <c r="K67" s="128"/>
      <c r="L67" s="129"/>
      <c r="M67" s="83">
        <f t="shared" ca="1" si="55"/>
        <v>42565</v>
      </c>
      <c r="N67" s="83">
        <f t="shared" ca="1" si="68"/>
        <v>42566</v>
      </c>
      <c r="O67" s="85">
        <f t="shared" si="69"/>
        <v>2</v>
      </c>
      <c r="P67" s="85">
        <f t="shared" ca="1" si="70"/>
        <v>2</v>
      </c>
      <c r="Q67" s="65"/>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c r="BQ67" s="66"/>
      <c r="BR67" s="66"/>
      <c r="BS67" s="66"/>
      <c r="BT67" s="66"/>
      <c r="BU67" s="66"/>
      <c r="BV67" s="67"/>
    </row>
    <row r="68" spans="1:74" s="68" customFormat="1" hidden="1" outlineLevel="1" x14ac:dyDescent="0.35">
      <c r="A68" s="86">
        <v>2</v>
      </c>
      <c r="B68" s="80" t="str">
        <f t="shared" ca="1" si="66"/>
        <v>8.16</v>
      </c>
      <c r="C68" s="122" t="s">
        <v>315</v>
      </c>
      <c r="D68" s="122"/>
      <c r="E68" s="123"/>
      <c r="F68" s="124" t="str">
        <f t="shared" ca="1" si="67"/>
        <v>8.15</v>
      </c>
      <c r="G68" s="125"/>
      <c r="H68" s="126"/>
      <c r="I68" s="127">
        <v>4</v>
      </c>
      <c r="J68" s="127"/>
      <c r="K68" s="128"/>
      <c r="L68" s="129"/>
      <c r="M68" s="83">
        <f t="shared" ca="1" si="55"/>
        <v>42569</v>
      </c>
      <c r="N68" s="83">
        <f t="shared" ca="1" si="68"/>
        <v>42572</v>
      </c>
      <c r="O68" s="85">
        <f t="shared" si="69"/>
        <v>4</v>
      </c>
      <c r="P68" s="85">
        <f t="shared" ca="1" si="70"/>
        <v>4</v>
      </c>
      <c r="Q68" s="65"/>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c r="BV68" s="67"/>
    </row>
    <row r="69" spans="1:74" s="68" customFormat="1" hidden="1" outlineLevel="1" x14ac:dyDescent="0.35">
      <c r="A69" s="86">
        <v>2</v>
      </c>
      <c r="B69" s="80" t="str">
        <f t="shared" ca="1" si="66"/>
        <v>8.17</v>
      </c>
      <c r="C69" s="122" t="s">
        <v>316</v>
      </c>
      <c r="D69" s="122"/>
      <c r="E69" s="123"/>
      <c r="F69" s="124" t="str">
        <f t="shared" ca="1" si="67"/>
        <v>8.16</v>
      </c>
      <c r="G69" s="125"/>
      <c r="H69" s="126"/>
      <c r="I69" s="127">
        <v>3</v>
      </c>
      <c r="J69" s="127"/>
      <c r="K69" s="128"/>
      <c r="L69" s="129"/>
      <c r="M69" s="83">
        <f t="shared" ca="1" si="55"/>
        <v>42573</v>
      </c>
      <c r="N69" s="83">
        <f t="shared" ca="1" si="68"/>
        <v>42577</v>
      </c>
      <c r="O69" s="85">
        <f t="shared" si="69"/>
        <v>3</v>
      </c>
      <c r="P69" s="85">
        <f t="shared" ca="1" si="70"/>
        <v>5</v>
      </c>
      <c r="Q69" s="65"/>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c r="BV69" s="67"/>
    </row>
    <row r="70" spans="1:74" s="68" customFormat="1" hidden="1" outlineLevel="1" x14ac:dyDescent="0.35">
      <c r="A70" s="86">
        <v>2</v>
      </c>
      <c r="B70" s="80" t="str">
        <f t="shared" ca="1" si="66"/>
        <v>8.18</v>
      </c>
      <c r="C70" s="122" t="s">
        <v>317</v>
      </c>
      <c r="D70" s="122"/>
      <c r="E70" s="123"/>
      <c r="F70" s="124" t="str">
        <f t="shared" ca="1" si="67"/>
        <v>8.17</v>
      </c>
      <c r="G70" s="125"/>
      <c r="H70" s="126"/>
      <c r="I70" s="127">
        <v>3</v>
      </c>
      <c r="J70" s="127"/>
      <c r="K70" s="128"/>
      <c r="L70" s="129"/>
      <c r="M70" s="83">
        <f t="shared" ca="1" si="55"/>
        <v>42578</v>
      </c>
      <c r="N70" s="83">
        <f t="shared" ca="1" si="68"/>
        <v>42580</v>
      </c>
      <c r="O70" s="85">
        <f t="shared" si="69"/>
        <v>3</v>
      </c>
      <c r="P70" s="85">
        <f t="shared" ca="1" si="70"/>
        <v>3</v>
      </c>
      <c r="Q70" s="65"/>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7"/>
    </row>
    <row r="71" spans="1:74" s="68" customFormat="1" hidden="1" outlineLevel="1" x14ac:dyDescent="0.35">
      <c r="A71" s="86">
        <v>2</v>
      </c>
      <c r="B71" s="80" t="str">
        <f t="shared" ca="1" si="66"/>
        <v>8.19</v>
      </c>
      <c r="C71" s="122" t="s">
        <v>318</v>
      </c>
      <c r="D71" s="122"/>
      <c r="E71" s="123"/>
      <c r="F71" s="124" t="str">
        <f t="shared" ca="1" si="67"/>
        <v>8.18</v>
      </c>
      <c r="G71" s="125"/>
      <c r="H71" s="126"/>
      <c r="I71" s="127">
        <v>1</v>
      </c>
      <c r="J71" s="127"/>
      <c r="K71" s="128"/>
      <c r="L71" s="129"/>
      <c r="M71" s="83">
        <f t="shared" ca="1" si="55"/>
        <v>42584</v>
      </c>
      <c r="N71" s="83">
        <f t="shared" ca="1" si="68"/>
        <v>42584</v>
      </c>
      <c r="O71" s="85">
        <f t="shared" si="69"/>
        <v>1</v>
      </c>
      <c r="P71" s="85">
        <f t="shared" ca="1" si="70"/>
        <v>1</v>
      </c>
      <c r="Q71" s="65"/>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7"/>
    </row>
    <row r="72" spans="1:74" s="68" customFormat="1" hidden="1" outlineLevel="1" x14ac:dyDescent="0.35">
      <c r="A72" s="86">
        <v>2</v>
      </c>
      <c r="B72" s="80" t="str">
        <f t="shared" ca="1" si="66"/>
        <v>8.20</v>
      </c>
      <c r="C72" s="122" t="s">
        <v>319</v>
      </c>
      <c r="D72" s="122"/>
      <c r="E72" s="123"/>
      <c r="F72" s="124" t="str">
        <f ca="1">B68</f>
        <v>8.16</v>
      </c>
      <c r="G72" s="125"/>
      <c r="H72" s="126"/>
      <c r="I72" s="127">
        <v>3</v>
      </c>
      <c r="J72" s="127"/>
      <c r="K72" s="128"/>
      <c r="L72" s="129"/>
      <c r="M72" s="83">
        <f t="shared" ca="1" si="55"/>
        <v>42573</v>
      </c>
      <c r="N72" s="83">
        <f t="shared" ca="1" si="68"/>
        <v>42577</v>
      </c>
      <c r="O72" s="85">
        <f t="shared" si="69"/>
        <v>3</v>
      </c>
      <c r="P72" s="85">
        <f t="shared" ca="1" si="70"/>
        <v>5</v>
      </c>
      <c r="Q72" s="65"/>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7"/>
    </row>
    <row r="73" spans="1:74" s="68" customFormat="1" hidden="1" outlineLevel="1" x14ac:dyDescent="0.35">
      <c r="A73" s="86">
        <v>2</v>
      </c>
      <c r="B73" s="80" t="str">
        <f t="shared" ca="1" si="66"/>
        <v>8.21</v>
      </c>
      <c r="C73" s="122" t="s">
        <v>320</v>
      </c>
      <c r="D73" s="122"/>
      <c r="E73" s="123"/>
      <c r="F73" s="124" t="str">
        <f t="shared" ca="1" si="67"/>
        <v>8.20</v>
      </c>
      <c r="G73" s="125"/>
      <c r="H73" s="126"/>
      <c r="I73" s="127">
        <v>3</v>
      </c>
      <c r="J73" s="127"/>
      <c r="K73" s="128"/>
      <c r="L73" s="129"/>
      <c r="M73" s="83">
        <f t="shared" ref="M73:M92" ca="1" si="71">IF(G73&lt;&gt;"",G73,IF(F73&lt;&gt;"",IFERROR(WORKDAY.INTL(INDEX(N:N,MATCH(F73,B:B,0)),1,weekend,holidays)," - "),IF(H73&lt;&gt;"",IF(I73&lt;&gt;"",WORKDAY.INTL(H73,-(MAX(I73,1)-1),weekend,holidays),H73-(MAX(J73,1)-1))," - ")))</f>
        <v>42578</v>
      </c>
      <c r="N73" s="83">
        <f t="shared" ca="1" si="68"/>
        <v>42580</v>
      </c>
      <c r="O73" s="85">
        <f t="shared" si="69"/>
        <v>3</v>
      </c>
      <c r="P73" s="85">
        <f t="shared" ca="1" si="70"/>
        <v>3</v>
      </c>
      <c r="Q73" s="65"/>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66"/>
      <c r="BL73" s="66"/>
      <c r="BM73" s="66"/>
      <c r="BN73" s="66"/>
      <c r="BO73" s="66"/>
      <c r="BP73" s="66"/>
      <c r="BQ73" s="66"/>
      <c r="BR73" s="66"/>
      <c r="BS73" s="66"/>
      <c r="BT73" s="66"/>
      <c r="BU73" s="66"/>
      <c r="BV73" s="67"/>
    </row>
    <row r="74" spans="1:74" s="68" customFormat="1" hidden="1" outlineLevel="1" x14ac:dyDescent="0.35">
      <c r="A74" s="86">
        <v>2</v>
      </c>
      <c r="B74" s="80" t="str">
        <f t="shared" ca="1" si="66"/>
        <v>8.22</v>
      </c>
      <c r="C74" s="122" t="s">
        <v>321</v>
      </c>
      <c r="D74" s="122"/>
      <c r="E74" s="123"/>
      <c r="F74" s="124" t="str">
        <f t="shared" ca="1" si="67"/>
        <v>8.21</v>
      </c>
      <c r="G74" s="125"/>
      <c r="H74" s="126"/>
      <c r="I74" s="127">
        <v>1</v>
      </c>
      <c r="J74" s="127"/>
      <c r="K74" s="128"/>
      <c r="L74" s="129"/>
      <c r="M74" s="83">
        <f t="shared" ca="1" si="71"/>
        <v>42584</v>
      </c>
      <c r="N74" s="83">
        <f t="shared" ca="1" si="68"/>
        <v>42584</v>
      </c>
      <c r="O74" s="85">
        <f t="shared" si="69"/>
        <v>1</v>
      </c>
      <c r="P74" s="85">
        <f t="shared" ca="1" si="70"/>
        <v>1</v>
      </c>
      <c r="Q74" s="65"/>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66"/>
      <c r="BL74" s="66"/>
      <c r="BM74" s="66"/>
      <c r="BN74" s="66"/>
      <c r="BO74" s="66"/>
      <c r="BP74" s="66"/>
      <c r="BQ74" s="66"/>
      <c r="BR74" s="66"/>
      <c r="BS74" s="66"/>
      <c r="BT74" s="66"/>
      <c r="BU74" s="66"/>
      <c r="BV74" s="67"/>
    </row>
    <row r="75" spans="1:74" s="68" customFormat="1" hidden="1" outlineLevel="1" x14ac:dyDescent="0.35">
      <c r="A75" s="86">
        <v>2</v>
      </c>
      <c r="B75" s="80" t="str">
        <f t="shared" ca="1" si="66"/>
        <v>8.23</v>
      </c>
      <c r="C75" s="122" t="s">
        <v>322</v>
      </c>
      <c r="D75" s="122"/>
      <c r="E75" s="123"/>
      <c r="F75" s="124" t="str">
        <f ca="1">B68</f>
        <v>8.16</v>
      </c>
      <c r="G75" s="125"/>
      <c r="H75" s="126"/>
      <c r="I75" s="127">
        <v>5</v>
      </c>
      <c r="J75" s="127"/>
      <c r="K75" s="128"/>
      <c r="L75" s="129"/>
      <c r="M75" s="83">
        <f t="shared" ca="1" si="71"/>
        <v>42573</v>
      </c>
      <c r="N75" s="83">
        <f t="shared" ca="1" si="68"/>
        <v>42579</v>
      </c>
      <c r="O75" s="85">
        <f t="shared" si="69"/>
        <v>5</v>
      </c>
      <c r="P75" s="85">
        <f t="shared" ca="1" si="70"/>
        <v>7</v>
      </c>
      <c r="Q75" s="65"/>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c r="BV75" s="67"/>
    </row>
    <row r="76" spans="1:74" s="68" customFormat="1" hidden="1" outlineLevel="1" x14ac:dyDescent="0.35">
      <c r="A76" s="86">
        <v>2</v>
      </c>
      <c r="B76" s="80" t="str">
        <f t="shared" ca="1" si="66"/>
        <v>8.24</v>
      </c>
      <c r="C76" s="122" t="s">
        <v>323</v>
      </c>
      <c r="D76" s="122"/>
      <c r="E76" s="123"/>
      <c r="F76" s="124" t="str">
        <f t="shared" ca="1" si="67"/>
        <v>8.23</v>
      </c>
      <c r="G76" s="125"/>
      <c r="H76" s="126"/>
      <c r="I76" s="127">
        <v>4</v>
      </c>
      <c r="J76" s="127"/>
      <c r="K76" s="128"/>
      <c r="L76" s="129"/>
      <c r="M76" s="83">
        <f t="shared" ca="1" si="71"/>
        <v>42580</v>
      </c>
      <c r="N76" s="83">
        <f t="shared" ca="1" si="68"/>
        <v>42586</v>
      </c>
      <c r="O76" s="85">
        <f t="shared" si="69"/>
        <v>4</v>
      </c>
      <c r="P76" s="85">
        <f t="shared" ca="1" si="70"/>
        <v>7</v>
      </c>
      <c r="Q76" s="65"/>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7"/>
    </row>
    <row r="77" spans="1:74" s="68" customFormat="1" hidden="1" outlineLevel="1" x14ac:dyDescent="0.35">
      <c r="A77" s="86">
        <v>2</v>
      </c>
      <c r="B77" s="80" t="str">
        <f t="shared" ca="1" si="66"/>
        <v>8.25</v>
      </c>
      <c r="C77" s="122" t="s">
        <v>324</v>
      </c>
      <c r="D77" s="122"/>
      <c r="E77" s="123"/>
      <c r="F77" s="124"/>
      <c r="G77" s="125">
        <f ca="1">WORKDAY.INTL(MAX(N71,N72,N76),1,weekend,holidays)</f>
        <v>42587</v>
      </c>
      <c r="H77" s="126"/>
      <c r="I77" s="127">
        <v>2</v>
      </c>
      <c r="J77" s="127"/>
      <c r="K77" s="128"/>
      <c r="L77" s="129"/>
      <c r="M77" s="83">
        <f t="shared" ca="1" si="71"/>
        <v>42587</v>
      </c>
      <c r="N77" s="83">
        <f t="shared" ca="1" si="68"/>
        <v>42590</v>
      </c>
      <c r="O77" s="85">
        <f t="shared" si="69"/>
        <v>2</v>
      </c>
      <c r="P77" s="85">
        <f t="shared" ca="1" si="70"/>
        <v>4</v>
      </c>
      <c r="Q77" s="65"/>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7"/>
    </row>
    <row r="78" spans="1:74" s="68" customFormat="1" hidden="1" outlineLevel="1" x14ac:dyDescent="0.35">
      <c r="A78" s="86">
        <v>2</v>
      </c>
      <c r="B78" s="80" t="str">
        <f t="shared" ca="1" si="66"/>
        <v>8.26</v>
      </c>
      <c r="C78" s="122" t="s">
        <v>325</v>
      </c>
      <c r="D78" s="122"/>
      <c r="E78" s="123"/>
      <c r="F78" s="124" t="str">
        <f t="shared" ca="1" si="67"/>
        <v>8.25</v>
      </c>
      <c r="G78" s="125"/>
      <c r="H78" s="126"/>
      <c r="I78" s="127">
        <v>3</v>
      </c>
      <c r="J78" s="127"/>
      <c r="K78" s="128"/>
      <c r="L78" s="129"/>
      <c r="M78" s="83">
        <f t="shared" ca="1" si="71"/>
        <v>42591</v>
      </c>
      <c r="N78" s="83">
        <f t="shared" ca="1" si="68"/>
        <v>42593</v>
      </c>
      <c r="O78" s="85">
        <f t="shared" si="69"/>
        <v>3</v>
      </c>
      <c r="P78" s="85">
        <f t="shared" ca="1" si="70"/>
        <v>3</v>
      </c>
      <c r="Q78" s="65"/>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7"/>
    </row>
    <row r="79" spans="1:74" s="68" customFormat="1" hidden="1" outlineLevel="1" x14ac:dyDescent="0.35">
      <c r="A79" s="86">
        <v>2</v>
      </c>
      <c r="B79" s="80" t="str">
        <f t="shared" ref="B79" ca="1" si="72">IF(A79="","",IF(A79&gt;OFFSET(A79,-1,0,1,1),IF(OFFSET(B79,-1,0,1,1)="","1",OFFSET(B79,-1,0,1,1))&amp;REPT(".1",A79-MAX(OFFSET(A79,-1,0,1,1),1)),IF(ISERROR(FIND(".",OFFSET(B79,-1,0,1,1))),REPT("1.",A79-1)&amp;IFERROR(VALUE(OFFSET(B79,-1,0,1,1))+1,"1"),IF(A79=1,"",IFERROR(LEFT(OFFSET(B79,-1,0,1,1),FIND("^",SUBSTITUTE(OFFSET(B79,-1,0,1,1),".","^",A79-1))),""))&amp;VALUE(TRIM(MID(SUBSTITUTE(OFFSET(B79,-1,0,1,1),".",REPT(" ",LEN(OFFSET(B79,-1,0,1,1)))),(A79-1)*LEN(OFFSET(B79,-1,0,1,1))+1,LEN(OFFSET(B79,-1,0,1,1)))))+1)))</f>
        <v>8.27</v>
      </c>
      <c r="C79" s="122" t="s">
        <v>326</v>
      </c>
      <c r="D79" s="122"/>
      <c r="E79" s="123"/>
      <c r="F79" s="124" t="str">
        <f t="shared" ca="1" si="67"/>
        <v>8.26</v>
      </c>
      <c r="G79" s="125"/>
      <c r="H79" s="126"/>
      <c r="I79" s="127">
        <v>2</v>
      </c>
      <c r="J79" s="127"/>
      <c r="K79" s="128"/>
      <c r="L79" s="129"/>
      <c r="M79" s="83">
        <f t="shared" ca="1" si="71"/>
        <v>42594</v>
      </c>
      <c r="N79" s="83">
        <f t="shared" ref="N79" ca="1" si="73">IF(H79&lt;&gt;"",H79,IF(M79=" - "," - ",IF(I79&lt;&gt;"",WORKDAY.INTL(M79,I79-1,weekend,holidays),M79+MAX(J79,1)-1)))</f>
        <v>42597</v>
      </c>
      <c r="O79" s="85">
        <f t="shared" ref="O79" si="74">IF(I79&lt;&gt;"",I79,IF(OR(NOT(ISNUMBER(M79)),NOT(ISNUMBER(N79)))," - ",NETWORKDAYS.INTL(M79,N79,weekend,holidays)))</f>
        <v>2</v>
      </c>
      <c r="P79" s="85">
        <f t="shared" ref="P79" ca="1" si="75">IF(J79&lt;&gt;"",J79,IF(OR(NOT(ISNUMBER(M79)),NOT(ISNUMBER(N79)))," - ",N79-M79+1))</f>
        <v>4</v>
      </c>
      <c r="Q79" s="65"/>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7"/>
    </row>
    <row r="80" spans="1:74" s="68" customFormat="1" hidden="1" outlineLevel="1" x14ac:dyDescent="0.35">
      <c r="A80" s="86">
        <v>2</v>
      </c>
      <c r="B80" s="80" t="str">
        <f t="shared" ca="1" si="66"/>
        <v>8.28</v>
      </c>
      <c r="C80" s="122" t="s">
        <v>327</v>
      </c>
      <c r="D80" s="122"/>
      <c r="E80" s="123"/>
      <c r="F80" s="124" t="str">
        <f ca="1">B78</f>
        <v>8.26</v>
      </c>
      <c r="G80" s="125"/>
      <c r="H80" s="126"/>
      <c r="I80" s="127">
        <v>2</v>
      </c>
      <c r="J80" s="127"/>
      <c r="K80" s="128"/>
      <c r="L80" s="129"/>
      <c r="M80" s="83">
        <f t="shared" ca="1" si="71"/>
        <v>42594</v>
      </c>
      <c r="N80" s="83">
        <f t="shared" ca="1" si="68"/>
        <v>42597</v>
      </c>
      <c r="O80" s="85">
        <f t="shared" si="69"/>
        <v>2</v>
      </c>
      <c r="P80" s="85">
        <f t="shared" ca="1" si="70"/>
        <v>4</v>
      </c>
      <c r="Q80" s="65"/>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7"/>
    </row>
    <row r="81" spans="1:74" s="68" customFormat="1" hidden="1" outlineLevel="1" x14ac:dyDescent="0.35">
      <c r="A81" s="86">
        <v>2</v>
      </c>
      <c r="B81" s="80" t="str">
        <f t="shared" ca="1" si="66"/>
        <v>8.29</v>
      </c>
      <c r="C81" s="122" t="s">
        <v>328</v>
      </c>
      <c r="D81" s="122"/>
      <c r="E81" s="123"/>
      <c r="F81" s="124" t="str">
        <f t="shared" ca="1" si="67"/>
        <v>8.28</v>
      </c>
      <c r="G81" s="125"/>
      <c r="H81" s="126"/>
      <c r="I81" s="127">
        <v>3</v>
      </c>
      <c r="J81" s="127"/>
      <c r="K81" s="128"/>
      <c r="L81" s="129"/>
      <c r="M81" s="83">
        <f t="shared" ca="1" si="71"/>
        <v>42598</v>
      </c>
      <c r="N81" s="83">
        <f t="shared" ca="1" si="68"/>
        <v>42600</v>
      </c>
      <c r="O81" s="85">
        <f t="shared" si="69"/>
        <v>3</v>
      </c>
      <c r="P81" s="85">
        <f t="shared" ca="1" si="70"/>
        <v>3</v>
      </c>
      <c r="Q81" s="65"/>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7"/>
    </row>
    <row r="82" spans="1:74" s="105" customFormat="1" collapsed="1" x14ac:dyDescent="0.35">
      <c r="A82" s="99">
        <v>1</v>
      </c>
      <c r="B82" s="111" t="str">
        <f t="shared" ca="1" si="66"/>
        <v>9</v>
      </c>
      <c r="C82" s="130" t="s">
        <v>329</v>
      </c>
      <c r="D82" s="131"/>
      <c r="E82" s="132"/>
      <c r="F82" s="133"/>
      <c r="G82" s="134">
        <f ca="1">MIN(M83:M87)</f>
        <v>42576</v>
      </c>
      <c r="H82" s="134">
        <f ca="1">MAX(N83:N87)</f>
        <v>42601</v>
      </c>
      <c r="I82" s="101"/>
      <c r="J82" s="101"/>
      <c r="K82" s="135"/>
      <c r="L82" s="136" t="s">
        <v>28</v>
      </c>
      <c r="M82" s="100">
        <f t="shared" ca="1" si="71"/>
        <v>42576</v>
      </c>
      <c r="N82" s="100">
        <f t="shared" ca="1" si="68"/>
        <v>42601</v>
      </c>
      <c r="O82" s="101">
        <f t="shared" ca="1" si="69"/>
        <v>19</v>
      </c>
      <c r="P82" s="101">
        <f t="shared" ca="1" si="70"/>
        <v>26</v>
      </c>
      <c r="Q82" s="102"/>
      <c r="R82" s="103"/>
      <c r="S82" s="103"/>
      <c r="T82" s="103"/>
      <c r="U82" s="103"/>
      <c r="V82" s="103"/>
      <c r="W82" s="103"/>
      <c r="X82" s="103"/>
      <c r="Y82" s="103"/>
      <c r="Z82" s="103"/>
      <c r="AA82" s="103"/>
      <c r="AB82" s="103"/>
      <c r="AC82" s="103"/>
      <c r="AD82" s="103"/>
      <c r="AE82" s="103"/>
      <c r="AF82" s="103"/>
      <c r="AG82" s="103"/>
      <c r="AH82" s="103"/>
      <c r="AI82" s="103"/>
      <c r="AJ82" s="103"/>
      <c r="AK82" s="103"/>
      <c r="AL82" s="103"/>
      <c r="AM82" s="103"/>
      <c r="AN82" s="103"/>
      <c r="AO82" s="103"/>
      <c r="AP82" s="103"/>
      <c r="AQ82" s="103"/>
      <c r="AR82" s="103"/>
      <c r="AS82" s="103"/>
      <c r="AT82" s="103"/>
      <c r="AU82" s="103"/>
      <c r="AV82" s="103"/>
      <c r="AW82" s="103"/>
      <c r="AX82" s="103"/>
      <c r="AY82" s="103"/>
      <c r="AZ82" s="103"/>
      <c r="BA82" s="103"/>
      <c r="BB82" s="103"/>
      <c r="BC82" s="103"/>
      <c r="BD82" s="103"/>
      <c r="BE82" s="103"/>
      <c r="BF82" s="103"/>
      <c r="BG82" s="103"/>
      <c r="BH82" s="103"/>
      <c r="BI82" s="103"/>
      <c r="BJ82" s="103"/>
      <c r="BK82" s="103"/>
      <c r="BL82" s="103"/>
      <c r="BM82" s="103"/>
      <c r="BN82" s="103"/>
      <c r="BO82" s="103"/>
      <c r="BP82" s="103"/>
      <c r="BQ82" s="103"/>
      <c r="BR82" s="103"/>
      <c r="BS82" s="103"/>
      <c r="BT82" s="103"/>
      <c r="BU82" s="103"/>
      <c r="BV82" s="104"/>
    </row>
    <row r="83" spans="1:74" s="68" customFormat="1" hidden="1" outlineLevel="1" x14ac:dyDescent="0.35">
      <c r="A83" s="86">
        <v>2</v>
      </c>
      <c r="B83" s="80" t="str">
        <f t="shared" ca="1" si="66"/>
        <v>9.1</v>
      </c>
      <c r="C83" s="122" t="s">
        <v>330</v>
      </c>
      <c r="D83" s="122"/>
      <c r="E83" s="123"/>
      <c r="F83" s="124" t="str">
        <f ca="1">B65</f>
        <v>8.13</v>
      </c>
      <c r="G83" s="125"/>
      <c r="H83" s="126"/>
      <c r="I83" s="127">
        <v>3</v>
      </c>
      <c r="J83" s="127"/>
      <c r="K83" s="128"/>
      <c r="L83" s="129"/>
      <c r="M83" s="83">
        <f t="shared" ca="1" si="71"/>
        <v>42576</v>
      </c>
      <c r="N83" s="83">
        <f t="shared" ca="1" si="68"/>
        <v>42578</v>
      </c>
      <c r="O83" s="85">
        <f t="shared" si="69"/>
        <v>3</v>
      </c>
      <c r="P83" s="85">
        <f t="shared" ca="1" si="70"/>
        <v>3</v>
      </c>
      <c r="Q83" s="65"/>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7"/>
    </row>
    <row r="84" spans="1:74" s="68" customFormat="1" hidden="1" outlineLevel="1" x14ac:dyDescent="0.35">
      <c r="A84" s="86">
        <v>2</v>
      </c>
      <c r="B84" s="80" t="str">
        <f t="shared" ca="1" si="66"/>
        <v>9.2</v>
      </c>
      <c r="C84" s="122" t="s">
        <v>331</v>
      </c>
      <c r="D84" s="122"/>
      <c r="E84" s="123"/>
      <c r="F84" s="124" t="str">
        <f ca="1">B83</f>
        <v>9.1</v>
      </c>
      <c r="G84" s="125"/>
      <c r="H84" s="126"/>
      <c r="I84" s="127">
        <v>4</v>
      </c>
      <c r="J84" s="127"/>
      <c r="K84" s="128"/>
      <c r="L84" s="129"/>
      <c r="M84" s="83">
        <f t="shared" ca="1" si="71"/>
        <v>42579</v>
      </c>
      <c r="N84" s="83">
        <f t="shared" ca="1" si="68"/>
        <v>42585</v>
      </c>
      <c r="O84" s="85">
        <f t="shared" si="69"/>
        <v>4</v>
      </c>
      <c r="P84" s="85">
        <f t="shared" ca="1" si="70"/>
        <v>7</v>
      </c>
      <c r="Q84" s="65"/>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7"/>
    </row>
    <row r="85" spans="1:74" s="68" customFormat="1" hidden="1" outlineLevel="1" x14ac:dyDescent="0.35">
      <c r="A85" s="86">
        <v>2</v>
      </c>
      <c r="B85" s="80" t="str">
        <f t="shared" ca="1" si="66"/>
        <v>9.3</v>
      </c>
      <c r="C85" s="122" t="s">
        <v>332</v>
      </c>
      <c r="D85" s="122"/>
      <c r="E85" s="123"/>
      <c r="F85" s="124" t="str">
        <f t="shared" ref="F85:F87" ca="1" si="76">B84</f>
        <v>9.2</v>
      </c>
      <c r="G85" s="125"/>
      <c r="H85" s="126"/>
      <c r="I85" s="127">
        <v>7</v>
      </c>
      <c r="J85" s="127"/>
      <c r="K85" s="128"/>
      <c r="L85" s="129"/>
      <c r="M85" s="83">
        <f t="shared" ca="1" si="71"/>
        <v>42586</v>
      </c>
      <c r="N85" s="83">
        <f t="shared" ca="1" si="68"/>
        <v>42594</v>
      </c>
      <c r="O85" s="85">
        <f t="shared" si="69"/>
        <v>7</v>
      </c>
      <c r="P85" s="85">
        <f t="shared" ca="1" si="70"/>
        <v>9</v>
      </c>
      <c r="Q85" s="65"/>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7"/>
    </row>
    <row r="86" spans="1:74" s="68" customFormat="1" hidden="1" outlineLevel="1" x14ac:dyDescent="0.35">
      <c r="A86" s="86">
        <v>2</v>
      </c>
      <c r="B86" s="80" t="str">
        <f t="shared" ca="1" si="66"/>
        <v>9.4</v>
      </c>
      <c r="C86" s="122" t="s">
        <v>333</v>
      </c>
      <c r="D86" s="122"/>
      <c r="E86" s="123"/>
      <c r="F86" s="124" t="str">
        <f t="shared" ca="1" si="76"/>
        <v>9.3</v>
      </c>
      <c r="G86" s="125"/>
      <c r="H86" s="126"/>
      <c r="I86" s="127">
        <v>2</v>
      </c>
      <c r="J86" s="127"/>
      <c r="K86" s="128"/>
      <c r="L86" s="129"/>
      <c r="M86" s="83">
        <f t="shared" ca="1" si="71"/>
        <v>42597</v>
      </c>
      <c r="N86" s="83">
        <f t="shared" ca="1" si="68"/>
        <v>42598</v>
      </c>
      <c r="O86" s="85">
        <f t="shared" si="69"/>
        <v>2</v>
      </c>
      <c r="P86" s="85">
        <f t="shared" ca="1" si="70"/>
        <v>2</v>
      </c>
      <c r="Q86" s="65"/>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7"/>
    </row>
    <row r="87" spans="1:74" s="68" customFormat="1" hidden="1" outlineLevel="1" x14ac:dyDescent="0.35">
      <c r="A87" s="86">
        <v>2</v>
      </c>
      <c r="B87" s="80" t="str">
        <f t="shared" ca="1" si="66"/>
        <v>9.5</v>
      </c>
      <c r="C87" s="122" t="s">
        <v>334</v>
      </c>
      <c r="D87" s="122"/>
      <c r="E87" s="123"/>
      <c r="F87" s="124" t="str">
        <f t="shared" ca="1" si="76"/>
        <v>9.4</v>
      </c>
      <c r="G87" s="125"/>
      <c r="H87" s="126"/>
      <c r="I87" s="127">
        <v>3</v>
      </c>
      <c r="J87" s="127"/>
      <c r="K87" s="128"/>
      <c r="L87" s="129"/>
      <c r="M87" s="83">
        <f t="shared" ca="1" si="71"/>
        <v>42599</v>
      </c>
      <c r="N87" s="83">
        <f t="shared" ca="1" si="68"/>
        <v>42601</v>
      </c>
      <c r="O87" s="85">
        <f t="shared" si="69"/>
        <v>3</v>
      </c>
      <c r="P87" s="85">
        <f t="shared" ca="1" si="70"/>
        <v>3</v>
      </c>
      <c r="Q87" s="65"/>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7"/>
    </row>
    <row r="88" spans="1:74" s="105" customFormat="1" collapsed="1" x14ac:dyDescent="0.35">
      <c r="A88" s="99">
        <v>1</v>
      </c>
      <c r="B88" s="111" t="str">
        <f t="shared" ref="B88:B92" ca="1" si="77">IF(A88="","",IF(A88&gt;OFFSET(A88,-1,0,1,1),IF(OFFSET(B88,-1,0,1,1)="","1",OFFSET(B88,-1,0,1,1))&amp;REPT(".1",A88-MAX(OFFSET(A88,-1,0,1,1),1)),IF(ISERROR(FIND(".",OFFSET(B88,-1,0,1,1))),REPT("1.",A88-1)&amp;IFERROR(VALUE(OFFSET(B88,-1,0,1,1))+1,"1"),IF(A88=1,"",IFERROR(LEFT(OFFSET(B88,-1,0,1,1),FIND("^",SUBSTITUTE(OFFSET(B88,-1,0,1,1),".","^",A88-1))),""))&amp;VALUE(TRIM(MID(SUBSTITUTE(OFFSET(B88,-1,0,1,1),".",REPT(" ",LEN(OFFSET(B88,-1,0,1,1)))),(A88-1)*LEN(OFFSET(B88,-1,0,1,1))+1,LEN(OFFSET(B88,-1,0,1,1)))))+1)))</f>
        <v>10</v>
      </c>
      <c r="C88" s="130" t="s">
        <v>335</v>
      </c>
      <c r="D88" s="131"/>
      <c r="E88" s="132"/>
      <c r="F88" s="133"/>
      <c r="G88" s="134">
        <f ca="1">MIN(M89:M92)</f>
        <v>42601</v>
      </c>
      <c r="H88" s="134">
        <f ca="1">MAX(N89:N92)</f>
        <v>42614</v>
      </c>
      <c r="I88" s="101"/>
      <c r="J88" s="101"/>
      <c r="K88" s="135"/>
      <c r="L88" s="136" t="s">
        <v>28</v>
      </c>
      <c r="M88" s="100">
        <f t="shared" ca="1" si="71"/>
        <v>42601</v>
      </c>
      <c r="N88" s="100">
        <f t="shared" ref="N88:N92" ca="1" si="78">IF(H88&lt;&gt;"",H88,IF(M88=" - "," - ",IF(I88&lt;&gt;"",WORKDAY.INTL(M88,I88-1,weekend,holidays),M88+MAX(J88,1)-1)))</f>
        <v>42614</v>
      </c>
      <c r="O88" s="101">
        <f t="shared" ref="O88:O92" ca="1" si="79">IF(I88&lt;&gt;"",I88,IF(OR(NOT(ISNUMBER(M88)),NOT(ISNUMBER(N88)))," - ",NETWORKDAYS.INTL(M88,N88,weekend,holidays)))</f>
        <v>9</v>
      </c>
      <c r="P88" s="101">
        <f t="shared" ref="P88:P92" ca="1" si="80">IF(J88&lt;&gt;"",J88,IF(OR(NOT(ISNUMBER(M88)),NOT(ISNUMBER(N88)))," - ",N88-M88+1))</f>
        <v>14</v>
      </c>
      <c r="Q88" s="102"/>
      <c r="R88" s="103"/>
      <c r="S88" s="103"/>
      <c r="T88" s="103"/>
      <c r="U88" s="103"/>
      <c r="V88" s="103"/>
      <c r="W88" s="103"/>
      <c r="X88" s="103"/>
      <c r="Y88" s="103"/>
      <c r="Z88" s="103"/>
      <c r="AA88" s="103"/>
      <c r="AB88" s="103"/>
      <c r="AC88" s="103"/>
      <c r="AD88" s="103"/>
      <c r="AE88" s="103"/>
      <c r="AF88" s="103"/>
      <c r="AG88" s="103"/>
      <c r="AH88" s="103"/>
      <c r="AI88" s="103"/>
      <c r="AJ88" s="103"/>
      <c r="AK88" s="103"/>
      <c r="AL88" s="103"/>
      <c r="AM88" s="103"/>
      <c r="AN88" s="103"/>
      <c r="AO88" s="103"/>
      <c r="AP88" s="103"/>
      <c r="AQ88" s="103"/>
      <c r="AR88" s="103"/>
      <c r="AS88" s="103"/>
      <c r="AT88" s="103"/>
      <c r="AU88" s="103"/>
      <c r="AV88" s="103"/>
      <c r="AW88" s="103"/>
      <c r="AX88" s="103"/>
      <c r="AY88" s="103"/>
      <c r="AZ88" s="103"/>
      <c r="BA88" s="103"/>
      <c r="BB88" s="103"/>
      <c r="BC88" s="103"/>
      <c r="BD88" s="103"/>
      <c r="BE88" s="103"/>
      <c r="BF88" s="103"/>
      <c r="BG88" s="103"/>
      <c r="BH88" s="103"/>
      <c r="BI88" s="103"/>
      <c r="BJ88" s="103"/>
      <c r="BK88" s="103"/>
      <c r="BL88" s="103"/>
      <c r="BM88" s="103"/>
      <c r="BN88" s="103"/>
      <c r="BO88" s="103"/>
      <c r="BP88" s="103"/>
      <c r="BQ88" s="103"/>
      <c r="BR88" s="103"/>
      <c r="BS88" s="103"/>
      <c r="BT88" s="103"/>
      <c r="BU88" s="103"/>
      <c r="BV88" s="104"/>
    </row>
    <row r="89" spans="1:74" s="68" customFormat="1" hidden="1" outlineLevel="1" x14ac:dyDescent="0.35">
      <c r="A89" s="86">
        <v>2</v>
      </c>
      <c r="B89" s="80" t="str">
        <f t="shared" ca="1" si="77"/>
        <v>10.1</v>
      </c>
      <c r="C89" s="122" t="s">
        <v>336</v>
      </c>
      <c r="D89" s="122"/>
      <c r="E89" s="123"/>
      <c r="F89" s="124" t="str">
        <f ca="1">B52</f>
        <v>8</v>
      </c>
      <c r="G89" s="125"/>
      <c r="H89" s="126"/>
      <c r="I89" s="127">
        <v>2</v>
      </c>
      <c r="J89" s="127"/>
      <c r="K89" s="128"/>
      <c r="L89" s="129"/>
      <c r="M89" s="83">
        <f t="shared" ca="1" si="71"/>
        <v>42601</v>
      </c>
      <c r="N89" s="83">
        <f t="shared" ca="1" si="78"/>
        <v>42604</v>
      </c>
      <c r="O89" s="85">
        <f t="shared" si="79"/>
        <v>2</v>
      </c>
      <c r="P89" s="85">
        <f t="shared" ca="1" si="80"/>
        <v>4</v>
      </c>
      <c r="Q89" s="65"/>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c r="BV89" s="67"/>
    </row>
    <row r="90" spans="1:74" s="68" customFormat="1" hidden="1" outlineLevel="1" x14ac:dyDescent="0.35">
      <c r="A90" s="86">
        <v>2</v>
      </c>
      <c r="B90" s="80" t="str">
        <f t="shared" ca="1" si="77"/>
        <v>10.2</v>
      </c>
      <c r="C90" s="122" t="s">
        <v>337</v>
      </c>
      <c r="D90" s="122"/>
      <c r="E90" s="123"/>
      <c r="F90" s="124" t="str">
        <f ca="1">B89</f>
        <v>10.1</v>
      </c>
      <c r="G90" s="125"/>
      <c r="H90" s="126"/>
      <c r="I90" s="127">
        <v>3</v>
      </c>
      <c r="J90" s="127"/>
      <c r="K90" s="128"/>
      <c r="L90" s="129"/>
      <c r="M90" s="83">
        <f t="shared" ca="1" si="71"/>
        <v>42605</v>
      </c>
      <c r="N90" s="83">
        <f t="shared" ca="1" si="78"/>
        <v>42607</v>
      </c>
      <c r="O90" s="85">
        <f t="shared" si="79"/>
        <v>3</v>
      </c>
      <c r="P90" s="85">
        <f t="shared" ca="1" si="80"/>
        <v>3</v>
      </c>
      <c r="Q90" s="65"/>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66"/>
      <c r="BT90" s="66"/>
      <c r="BU90" s="66"/>
      <c r="BV90" s="67"/>
    </row>
    <row r="91" spans="1:74" s="68" customFormat="1" hidden="1" outlineLevel="1" x14ac:dyDescent="0.35">
      <c r="A91" s="86">
        <v>2</v>
      </c>
      <c r="B91" s="80" t="str">
        <f t="shared" ca="1" si="77"/>
        <v>10.3</v>
      </c>
      <c r="C91" s="122" t="s">
        <v>338</v>
      </c>
      <c r="D91" s="122"/>
      <c r="E91" s="123"/>
      <c r="F91" s="124"/>
      <c r="G91" s="125">
        <f ca="1">WORKDAY.INTL(MAX(N82,N90),1,weekend,holidays)</f>
        <v>42608</v>
      </c>
      <c r="H91" s="126"/>
      <c r="I91" s="127">
        <v>1</v>
      </c>
      <c r="J91" s="127"/>
      <c r="K91" s="128"/>
      <c r="L91" s="129"/>
      <c r="M91" s="83">
        <f t="shared" ca="1" si="71"/>
        <v>42608</v>
      </c>
      <c r="N91" s="83">
        <f t="shared" ca="1" si="78"/>
        <v>42608</v>
      </c>
      <c r="O91" s="85">
        <f t="shared" si="79"/>
        <v>1</v>
      </c>
      <c r="P91" s="85">
        <f t="shared" ca="1" si="80"/>
        <v>1</v>
      </c>
      <c r="Q91" s="65"/>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7"/>
    </row>
    <row r="92" spans="1:74" s="68" customFormat="1" hidden="1" outlineLevel="1" x14ac:dyDescent="0.35">
      <c r="A92" s="86">
        <v>2</v>
      </c>
      <c r="B92" s="80" t="str">
        <f t="shared" ca="1" si="77"/>
        <v>10.4</v>
      </c>
      <c r="C92" s="122" t="s">
        <v>339</v>
      </c>
      <c r="D92" s="122"/>
      <c r="E92" s="123"/>
      <c r="F92" s="124" t="str">
        <f t="shared" ref="F92" ca="1" si="81">B91</f>
        <v>10.3</v>
      </c>
      <c r="G92" s="125"/>
      <c r="H92" s="126"/>
      <c r="I92" s="127">
        <v>3</v>
      </c>
      <c r="J92" s="127"/>
      <c r="K92" s="128"/>
      <c r="L92" s="129"/>
      <c r="M92" s="83">
        <f t="shared" ca="1" si="71"/>
        <v>42612</v>
      </c>
      <c r="N92" s="83">
        <f t="shared" ca="1" si="78"/>
        <v>42614</v>
      </c>
      <c r="O92" s="85">
        <f t="shared" si="79"/>
        <v>3</v>
      </c>
      <c r="P92" s="85">
        <f t="shared" ca="1" si="80"/>
        <v>3</v>
      </c>
      <c r="Q92" s="65"/>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7"/>
    </row>
    <row r="93" spans="1:74" collapsed="1" x14ac:dyDescent="0.35"/>
  </sheetData>
  <sheetProtection formatCells="0" formatColumns="0" formatRows="0"/>
  <mergeCells count="32">
    <mergeCell ref="BO5:BU5"/>
    <mergeCell ref="BO6:BU6"/>
    <mergeCell ref="AT6:AZ6"/>
    <mergeCell ref="BA5:BG5"/>
    <mergeCell ref="BA6:BG6"/>
    <mergeCell ref="AT5:AZ5"/>
    <mergeCell ref="BH5:BN5"/>
    <mergeCell ref="BH6:BN6"/>
    <mergeCell ref="O7:O8"/>
    <mergeCell ref="J7:J8"/>
    <mergeCell ref="AM5:AS5"/>
    <mergeCell ref="AM6:AS6"/>
    <mergeCell ref="Y6:AE6"/>
    <mergeCell ref="R6:X6"/>
    <mergeCell ref="Y5:AE5"/>
    <mergeCell ref="R5:X5"/>
    <mergeCell ref="AF5:AL5"/>
    <mergeCell ref="M7:M8"/>
    <mergeCell ref="N7:N8"/>
    <mergeCell ref="P7:P8"/>
    <mergeCell ref="K7:K8"/>
    <mergeCell ref="L7:L8"/>
    <mergeCell ref="AF6:AL6"/>
    <mergeCell ref="A7:A8"/>
    <mergeCell ref="H7:H8"/>
    <mergeCell ref="I7:I8"/>
    <mergeCell ref="B7:B8"/>
    <mergeCell ref="C7:C8"/>
    <mergeCell ref="D7:D8"/>
    <mergeCell ref="F7:F8"/>
    <mergeCell ref="E7:E8"/>
    <mergeCell ref="G7:G8"/>
  </mergeCells>
  <phoneticPr fontId="3" type="noConversion"/>
  <conditionalFormatting sqref="C4:C5 M9:N43 G9:H92 M45:N92">
    <cfRule type="expression" dxfId="26" priority="161">
      <formula>(dateformat="dmy")</formula>
    </cfRule>
  </conditionalFormatting>
  <conditionalFormatting sqref="C9:C92">
    <cfRule type="expression" dxfId="25" priority="355">
      <formula>$A9=5</formula>
    </cfRule>
    <cfRule type="expression" dxfId="24" priority="356">
      <formula>$A9=4</formula>
    </cfRule>
    <cfRule type="expression" dxfId="23" priority="357">
      <formula>$A9=3</formula>
    </cfRule>
    <cfRule type="expression" dxfId="22" priority="358">
      <formula>$A9=2</formula>
    </cfRule>
  </conditionalFormatting>
  <conditionalFormatting sqref="K9:K92">
    <cfRule type="dataBar" priority="162">
      <dataBar>
        <cfvo type="num" val="0"/>
        <cfvo type="num" val="1"/>
        <color theme="1" tint="0.499984740745262"/>
      </dataBar>
      <extLst>
        <ext xmlns:x14="http://schemas.microsoft.com/office/spreadsheetml/2009/9/main" uri="{B025F937-C7B1-47D3-B67F-A62EFF666E3E}">
          <x14:id>{0A58A75E-4698-465A-8593-F06B91A3A900}</x14:id>
        </ext>
      </extLst>
    </cfRule>
  </conditionalFormatting>
  <conditionalFormatting sqref="N9:N92">
    <cfRule type="expression" dxfId="21" priority="163">
      <formula>AND(enddate_highlight="on",N9&lt;TODAY(),K9&lt;1)</formula>
    </cfRule>
    <cfRule type="expression" dxfId="20" priority="177">
      <formula>AND(enddate_highlight="on",N9&lt;=TODAY()+enddate_highlight_days,K9&lt;1)</formula>
    </cfRule>
  </conditionalFormatting>
  <conditionalFormatting sqref="R7:BU8">
    <cfRule type="expression" dxfId="19" priority="336">
      <formula>AND($N$4="Daily",NETWORKDAYS.INTL(R$4,R$4,weekend,holidays)=0)</formula>
    </cfRule>
  </conditionalFormatting>
  <conditionalFormatting sqref="R8:BU8">
    <cfRule type="expression" dxfId="18" priority="178">
      <formula>AND(TODAY()&gt;=R4,TODAY()&lt;S4)</formula>
    </cfRule>
  </conditionalFormatting>
  <conditionalFormatting sqref="R9:BU92">
    <cfRule type="expression" dxfId="17" priority="337">
      <formula>AND(R$4&lt;=TODAY(),TODAY()&lt;S$4)</formula>
    </cfRule>
    <cfRule type="expression" dxfId="16" priority="338">
      <formula>OR(R9="b",AND(OR($L9="b",$L9=""),AND($M9&lt;S$4,$N9&gt;=R$4)))</formula>
    </cfRule>
    <cfRule type="expression" dxfId="15" priority="339">
      <formula>OR(AND(AND($M9&lt;S$4,$N9&gt;=R$4),$L9="k"),R9="k")</formula>
    </cfRule>
    <cfRule type="expression" dxfId="14" priority="340">
      <formula>OR(AND(AND($M9&lt;S$4,$N9&gt;=R$4),$L9="x"),R9="x")</formula>
    </cfRule>
    <cfRule type="expression" dxfId="13" priority="341">
      <formula>OR(AND(AND($M9&lt;S$4,$N9&gt;=R$4),$L9="g"),R9="g")</formula>
    </cfRule>
    <cfRule type="expression" dxfId="12" priority="342">
      <formula>OR(AND(AND($M9&lt;S$4,$N9&gt;=R$4),$L9="p"),R9="p")</formula>
    </cfRule>
    <cfRule type="expression" dxfId="11" priority="343">
      <formula>OR(AND(AND($M9&lt;S$4,$N9&gt;=R$4),$L9="y"),R9="y")</formula>
    </cfRule>
    <cfRule type="expression" dxfId="10" priority="344">
      <formula>OR(AND(AND($M9&lt;S$4,$N9&gt;=R$4),$L9="o"),R9="o")</formula>
    </cfRule>
    <cfRule type="expression" dxfId="9" priority="345">
      <formula>OR(AND(AND($M9&lt;S$4,$N9&gt;=R$4),$L9="r"),R9="r")</formula>
    </cfRule>
    <cfRule type="expression" dxfId="8" priority="346">
      <formula>AND(AND($M9&lt;S$4,$N9&gt;=R$4),$L9=1)</formula>
    </cfRule>
    <cfRule type="expression" dxfId="7" priority="347">
      <formula>AND(AND($M9&lt;S$4,$N9&gt;=R$4),$L9=2)</formula>
    </cfRule>
    <cfRule type="expression" dxfId="6" priority="348">
      <formula>AND(AND($M9&lt;S$4,$N9&gt;=R$4),$L9=3)</formula>
    </cfRule>
    <cfRule type="expression" dxfId="5" priority="349">
      <formula>AND(AND($M9&lt;S$4,$N9&gt;=R$4),$L9=4)</formula>
    </cfRule>
    <cfRule type="expression" dxfId="4" priority="350">
      <formula>AND(AND($M9&lt;S$4,$N9&gt;=R$4),$L9=5)</formula>
    </cfRule>
    <cfRule type="expression" dxfId="3" priority="351">
      <formula>AND(AND($M9&lt;S$4,$N9&gt;=R$4),$L9=6)</formula>
    </cfRule>
    <cfRule type="expression" dxfId="2" priority="352">
      <formula>AND(AND($M9&lt;S$4,$N9&gt;=R$4),$L9=7)</formula>
    </cfRule>
    <cfRule type="expression" dxfId="1" priority="353" stopIfTrue="1">
      <formula>AND($M9&lt;S$4,$N9&gt;=R$4)</formula>
    </cfRule>
    <cfRule type="expression" dxfId="0" priority="354">
      <formula>IF($N$4&lt;&gt;"Weekly",MOD(COLUMN()-COLUMN($R$4),IF($N$4="Daily",7,MONTH(R$4)=1))=0,FALSE)</formula>
    </cfRule>
  </conditionalFormatting>
  <dataValidations count="2">
    <dataValidation type="list" allowBlank="1" showInputMessage="1" showErrorMessage="1" sqref="N4" xr:uid="{00000000-0002-0000-0000-000000000000}">
      <formula1>"Daily,Weekly,Monthly"</formula1>
    </dataValidation>
    <dataValidation type="list" allowBlank="1" showInputMessage="1" showErrorMessage="1" sqref="A9:A92" xr:uid="{00000000-0002-0000-0000-000001000000}">
      <formula1>"1,2,3,4,5"</formula1>
    </dataValidation>
  </dataValidations>
  <pageMargins left="0.25" right="0.25" top="0.5" bottom="0.5" header="0.5" footer="0.25"/>
  <pageSetup scale="66" fitToHeight="0" orientation="landscape" r:id="rId1"/>
  <headerFooter alignWithMargins="0"/>
  <ignoredErrors>
    <ignoredError sqref="F47:F49 F66 F72 F75 F80" formula="1"/>
    <ignoredError sqref="C5"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70" r:id="rId4" name="Scroll Bar 78">
              <controlPr defaultSize="0" autoPict="0">
                <anchor moveWithCells="1">
                  <from>
                    <xdr:col>17</xdr:col>
                    <xdr:colOff>0</xdr:colOff>
                    <xdr:row>1</xdr:row>
                    <xdr:rowOff>0</xdr:rowOff>
                  </from>
                  <to>
                    <xdr:col>33</xdr:col>
                    <xdr:colOff>0</xdr:colOff>
                    <xdr:row>2</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K9:K92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D271"/>
  <sheetViews>
    <sheetView showGridLines="0" zoomScale="110" zoomScaleNormal="110" workbookViewId="0">
      <selection activeCell="A2" sqref="A2"/>
    </sheetView>
  </sheetViews>
  <sheetFormatPr defaultRowHeight="12.75" x14ac:dyDescent="0.35"/>
  <cols>
    <col min="1" max="1" width="13.73046875" customWidth="1"/>
    <col min="2" max="2" width="25.796875" customWidth="1"/>
    <col min="3" max="3" width="11.1328125" style="57" customWidth="1"/>
    <col min="4" max="4" width="22.265625" customWidth="1"/>
  </cols>
  <sheetData>
    <row r="1" spans="1:4" ht="30" customHeight="1" x14ac:dyDescent="0.35">
      <c r="A1" s="51" t="s">
        <v>9</v>
      </c>
      <c r="B1" s="51"/>
      <c r="C1" s="51"/>
      <c r="D1" s="51"/>
    </row>
    <row r="2" spans="1:4" x14ac:dyDescent="0.35">
      <c r="A2" s="2"/>
    </row>
    <row r="3" spans="1:4" x14ac:dyDescent="0.35">
      <c r="A3" s="13" t="s">
        <v>54</v>
      </c>
    </row>
    <row r="4" spans="1:4" x14ac:dyDescent="0.35">
      <c r="A4" s="13" t="s">
        <v>55</v>
      </c>
    </row>
    <row r="5" spans="1:4" x14ac:dyDescent="0.35">
      <c r="A5" s="13" t="s">
        <v>62</v>
      </c>
    </row>
    <row r="6" spans="1:4" x14ac:dyDescent="0.35">
      <c r="A6" s="2"/>
    </row>
    <row r="7" spans="1:4" x14ac:dyDescent="0.35">
      <c r="A7" s="14" t="s">
        <v>3</v>
      </c>
      <c r="B7" s="15" t="s">
        <v>56</v>
      </c>
      <c r="C7" s="58" t="s">
        <v>125</v>
      </c>
    </row>
    <row r="8" spans="1:4" x14ac:dyDescent="0.35">
      <c r="A8" s="71">
        <v>42363</v>
      </c>
      <c r="B8" s="72" t="s">
        <v>5</v>
      </c>
      <c r="C8" s="73"/>
    </row>
    <row r="9" spans="1:4" x14ac:dyDescent="0.35">
      <c r="A9" s="71">
        <v>42729</v>
      </c>
      <c r="B9" s="72" t="s">
        <v>5</v>
      </c>
      <c r="C9" s="73"/>
    </row>
    <row r="10" spans="1:4" x14ac:dyDescent="0.35">
      <c r="A10" s="71">
        <v>43094</v>
      </c>
      <c r="B10" s="72" t="s">
        <v>5</v>
      </c>
      <c r="C10" s="73"/>
    </row>
    <row r="11" spans="1:4" x14ac:dyDescent="0.35">
      <c r="A11" s="71">
        <v>43459</v>
      </c>
      <c r="B11" s="72" t="s">
        <v>5</v>
      </c>
      <c r="C11" s="73"/>
    </row>
    <row r="12" spans="1:4" x14ac:dyDescent="0.35">
      <c r="A12" s="71">
        <v>43824</v>
      </c>
      <c r="B12" s="72" t="s">
        <v>5</v>
      </c>
      <c r="C12" s="73"/>
    </row>
    <row r="13" spans="1:4" x14ac:dyDescent="0.35">
      <c r="A13" s="71">
        <v>44190</v>
      </c>
      <c r="B13" s="72" t="s">
        <v>5</v>
      </c>
      <c r="C13" s="73"/>
    </row>
    <row r="14" spans="1:4" x14ac:dyDescent="0.35">
      <c r="A14" s="71">
        <v>44555</v>
      </c>
      <c r="B14" s="72" t="s">
        <v>5</v>
      </c>
      <c r="C14" s="73"/>
    </row>
    <row r="15" spans="1:4" x14ac:dyDescent="0.35">
      <c r="A15" s="71">
        <v>44920</v>
      </c>
      <c r="B15" s="72" t="s">
        <v>5</v>
      </c>
      <c r="C15" s="73"/>
    </row>
    <row r="16" spans="1:4" x14ac:dyDescent="0.35">
      <c r="A16" s="71">
        <v>45285</v>
      </c>
      <c r="B16" s="72" t="s">
        <v>5</v>
      </c>
      <c r="C16" s="73"/>
    </row>
    <row r="17" spans="1:3" x14ac:dyDescent="0.35">
      <c r="A17" s="71">
        <v>45651</v>
      </c>
      <c r="B17" s="72" t="s">
        <v>5</v>
      </c>
      <c r="C17" s="73"/>
    </row>
    <row r="18" spans="1:3" x14ac:dyDescent="0.35">
      <c r="A18" s="71">
        <v>46016</v>
      </c>
      <c r="B18" s="72" t="s">
        <v>5</v>
      </c>
      <c r="C18" s="73"/>
    </row>
    <row r="19" spans="1:3" x14ac:dyDescent="0.35">
      <c r="A19" s="71">
        <v>42005</v>
      </c>
      <c r="B19" s="72" t="s">
        <v>4</v>
      </c>
      <c r="C19" s="73"/>
    </row>
    <row r="20" spans="1:3" x14ac:dyDescent="0.35">
      <c r="A20" s="71">
        <v>42370</v>
      </c>
      <c r="B20" s="72" t="s">
        <v>4</v>
      </c>
      <c r="C20" s="73"/>
    </row>
    <row r="21" spans="1:3" x14ac:dyDescent="0.35">
      <c r="A21" s="71">
        <v>42736</v>
      </c>
      <c r="B21" s="72" t="s">
        <v>4</v>
      </c>
      <c r="C21" s="73"/>
    </row>
    <row r="22" spans="1:3" x14ac:dyDescent="0.35">
      <c r="A22" s="71">
        <v>43101</v>
      </c>
      <c r="B22" s="72" t="s">
        <v>4</v>
      </c>
      <c r="C22" s="73"/>
    </row>
    <row r="23" spans="1:3" x14ac:dyDescent="0.35">
      <c r="A23" s="71">
        <v>43466</v>
      </c>
      <c r="B23" s="72" t="s">
        <v>4</v>
      </c>
      <c r="C23" s="73"/>
    </row>
    <row r="24" spans="1:3" x14ac:dyDescent="0.35">
      <c r="A24" s="71">
        <v>43831</v>
      </c>
      <c r="B24" s="72" t="s">
        <v>4</v>
      </c>
      <c r="C24" s="73"/>
    </row>
    <row r="25" spans="1:3" x14ac:dyDescent="0.35">
      <c r="A25" s="71">
        <v>44197</v>
      </c>
      <c r="B25" s="72" t="s">
        <v>4</v>
      </c>
      <c r="C25" s="73"/>
    </row>
    <row r="26" spans="1:3" x14ac:dyDescent="0.35">
      <c r="A26" s="71">
        <v>44562</v>
      </c>
      <c r="B26" s="72" t="s">
        <v>4</v>
      </c>
      <c r="C26" s="73"/>
    </row>
    <row r="27" spans="1:3" x14ac:dyDescent="0.35">
      <c r="A27" s="71">
        <v>44927</v>
      </c>
      <c r="B27" s="72" t="s">
        <v>4</v>
      </c>
      <c r="C27" s="73"/>
    </row>
    <row r="28" spans="1:3" x14ac:dyDescent="0.35">
      <c r="A28" s="71">
        <v>45292</v>
      </c>
      <c r="B28" s="72" t="s">
        <v>4</v>
      </c>
      <c r="C28" s="73"/>
    </row>
    <row r="29" spans="1:3" x14ac:dyDescent="0.35">
      <c r="A29" s="71">
        <v>45658</v>
      </c>
      <c r="B29" s="72" t="s">
        <v>4</v>
      </c>
      <c r="C29" s="73"/>
    </row>
    <row r="30" spans="1:3" x14ac:dyDescent="0.35">
      <c r="A30" s="71">
        <v>42289</v>
      </c>
      <c r="B30" s="72" t="s">
        <v>18</v>
      </c>
      <c r="C30" s="74" t="s">
        <v>126</v>
      </c>
    </row>
    <row r="31" spans="1:3" x14ac:dyDescent="0.35">
      <c r="A31" s="71">
        <v>42653</v>
      </c>
      <c r="B31" s="72" t="s">
        <v>18</v>
      </c>
      <c r="C31" s="74" t="s">
        <v>126</v>
      </c>
    </row>
    <row r="32" spans="1:3" x14ac:dyDescent="0.35">
      <c r="A32" s="71">
        <v>43017</v>
      </c>
      <c r="B32" s="72" t="s">
        <v>18</v>
      </c>
      <c r="C32" s="74" t="s">
        <v>126</v>
      </c>
    </row>
    <row r="33" spans="1:3" x14ac:dyDescent="0.35">
      <c r="A33" s="71">
        <v>43381</v>
      </c>
      <c r="B33" s="72" t="s">
        <v>18</v>
      </c>
      <c r="C33" s="74" t="s">
        <v>126</v>
      </c>
    </row>
    <row r="34" spans="1:3" x14ac:dyDescent="0.35">
      <c r="A34" s="71">
        <v>43752</v>
      </c>
      <c r="B34" s="72" t="s">
        <v>18</v>
      </c>
      <c r="C34" s="74" t="s">
        <v>126</v>
      </c>
    </row>
    <row r="35" spans="1:3" x14ac:dyDescent="0.35">
      <c r="A35" s="71">
        <v>44116</v>
      </c>
      <c r="B35" s="72" t="s">
        <v>18</v>
      </c>
      <c r="C35" s="74" t="s">
        <v>126</v>
      </c>
    </row>
    <row r="36" spans="1:3" x14ac:dyDescent="0.35">
      <c r="A36" s="71">
        <v>44480</v>
      </c>
      <c r="B36" s="72" t="s">
        <v>18</v>
      </c>
      <c r="C36" s="74" t="s">
        <v>126</v>
      </c>
    </row>
    <row r="37" spans="1:3" x14ac:dyDescent="0.35">
      <c r="A37" s="71">
        <v>44844</v>
      </c>
      <c r="B37" s="72" t="s">
        <v>18</v>
      </c>
      <c r="C37" s="74" t="s">
        <v>126</v>
      </c>
    </row>
    <row r="38" spans="1:3" x14ac:dyDescent="0.35">
      <c r="A38" s="71">
        <v>45208</v>
      </c>
      <c r="B38" s="72" t="s">
        <v>18</v>
      </c>
      <c r="C38" s="74" t="s">
        <v>126</v>
      </c>
    </row>
    <row r="39" spans="1:3" x14ac:dyDescent="0.35">
      <c r="A39" s="71">
        <v>45579</v>
      </c>
      <c r="B39" s="72" t="s">
        <v>18</v>
      </c>
      <c r="C39" s="74" t="s">
        <v>126</v>
      </c>
    </row>
    <row r="40" spans="1:3" x14ac:dyDescent="0.35">
      <c r="A40" s="71">
        <v>45943</v>
      </c>
      <c r="B40" s="72" t="s">
        <v>18</v>
      </c>
      <c r="C40" s="74" t="s">
        <v>126</v>
      </c>
    </row>
    <row r="41" spans="1:3" x14ac:dyDescent="0.35">
      <c r="A41" s="71">
        <v>42189</v>
      </c>
      <c r="B41" s="72" t="s">
        <v>12</v>
      </c>
      <c r="C41" s="74" t="s">
        <v>126</v>
      </c>
    </row>
    <row r="42" spans="1:3" x14ac:dyDescent="0.35">
      <c r="A42" s="71">
        <v>42555</v>
      </c>
      <c r="B42" s="72" t="s">
        <v>12</v>
      </c>
      <c r="C42" s="74" t="s">
        <v>126</v>
      </c>
    </row>
    <row r="43" spans="1:3" x14ac:dyDescent="0.35">
      <c r="A43" s="71">
        <v>42920</v>
      </c>
      <c r="B43" s="72" t="s">
        <v>12</v>
      </c>
      <c r="C43" s="74" t="s">
        <v>126</v>
      </c>
    </row>
    <row r="44" spans="1:3" x14ac:dyDescent="0.35">
      <c r="A44" s="71">
        <v>43285</v>
      </c>
      <c r="B44" s="72" t="s">
        <v>12</v>
      </c>
      <c r="C44" s="74" t="s">
        <v>126</v>
      </c>
    </row>
    <row r="45" spans="1:3" x14ac:dyDescent="0.35">
      <c r="A45" s="71">
        <v>43650</v>
      </c>
      <c r="B45" s="72" t="s">
        <v>12</v>
      </c>
      <c r="C45" s="74" t="s">
        <v>126</v>
      </c>
    </row>
    <row r="46" spans="1:3" x14ac:dyDescent="0.35">
      <c r="A46" s="71">
        <v>44016</v>
      </c>
      <c r="B46" s="72" t="s">
        <v>12</v>
      </c>
      <c r="C46" s="74" t="s">
        <v>126</v>
      </c>
    </row>
    <row r="47" spans="1:3" x14ac:dyDescent="0.35">
      <c r="A47" s="71">
        <v>44381</v>
      </c>
      <c r="B47" s="72" t="s">
        <v>12</v>
      </c>
      <c r="C47" s="74" t="s">
        <v>126</v>
      </c>
    </row>
    <row r="48" spans="1:3" x14ac:dyDescent="0.35">
      <c r="A48" s="71">
        <v>44746</v>
      </c>
      <c r="B48" s="72" t="s">
        <v>12</v>
      </c>
      <c r="C48" s="74" t="s">
        <v>126</v>
      </c>
    </row>
    <row r="49" spans="1:3" x14ac:dyDescent="0.35">
      <c r="A49" s="71">
        <v>45111</v>
      </c>
      <c r="B49" s="72" t="s">
        <v>12</v>
      </c>
      <c r="C49" s="74" t="s">
        <v>126</v>
      </c>
    </row>
    <row r="50" spans="1:3" x14ac:dyDescent="0.35">
      <c r="A50" s="71">
        <v>45477</v>
      </c>
      <c r="B50" s="72" t="s">
        <v>12</v>
      </c>
      <c r="C50" s="74" t="s">
        <v>126</v>
      </c>
    </row>
    <row r="51" spans="1:3" x14ac:dyDescent="0.35">
      <c r="A51" s="71">
        <v>45842</v>
      </c>
      <c r="B51" s="72" t="s">
        <v>12</v>
      </c>
      <c r="C51" s="74" t="s">
        <v>126</v>
      </c>
    </row>
    <row r="52" spans="1:3" x14ac:dyDescent="0.35">
      <c r="A52" s="71">
        <v>42254</v>
      </c>
      <c r="B52" s="72" t="s">
        <v>14</v>
      </c>
      <c r="C52" s="74" t="s">
        <v>126</v>
      </c>
    </row>
    <row r="53" spans="1:3" x14ac:dyDescent="0.35">
      <c r="A53" s="71">
        <v>42618</v>
      </c>
      <c r="B53" s="72" t="s">
        <v>14</v>
      </c>
      <c r="C53" s="74" t="s">
        <v>126</v>
      </c>
    </row>
    <row r="54" spans="1:3" x14ac:dyDescent="0.35">
      <c r="A54" s="71">
        <v>42982</v>
      </c>
      <c r="B54" s="72" t="s">
        <v>14</v>
      </c>
      <c r="C54" s="74" t="s">
        <v>126</v>
      </c>
    </row>
    <row r="55" spans="1:3" x14ac:dyDescent="0.35">
      <c r="A55" s="71">
        <v>43346</v>
      </c>
      <c r="B55" s="72" t="s">
        <v>14</v>
      </c>
      <c r="C55" s="74" t="s">
        <v>126</v>
      </c>
    </row>
    <row r="56" spans="1:3" x14ac:dyDescent="0.35">
      <c r="A56" s="71">
        <v>43710</v>
      </c>
      <c r="B56" s="72" t="s">
        <v>14</v>
      </c>
      <c r="C56" s="74" t="s">
        <v>126</v>
      </c>
    </row>
    <row r="57" spans="1:3" x14ac:dyDescent="0.35">
      <c r="A57" s="71">
        <v>44081</v>
      </c>
      <c r="B57" s="72" t="s">
        <v>14</v>
      </c>
      <c r="C57" s="74" t="s">
        <v>126</v>
      </c>
    </row>
    <row r="58" spans="1:3" x14ac:dyDescent="0.35">
      <c r="A58" s="71">
        <v>44445</v>
      </c>
      <c r="B58" s="72" t="s">
        <v>14</v>
      </c>
      <c r="C58" s="74" t="s">
        <v>126</v>
      </c>
    </row>
    <row r="59" spans="1:3" x14ac:dyDescent="0.35">
      <c r="A59" s="71">
        <v>44809</v>
      </c>
      <c r="B59" s="72" t="s">
        <v>14</v>
      </c>
      <c r="C59" s="74" t="s">
        <v>126</v>
      </c>
    </row>
    <row r="60" spans="1:3" x14ac:dyDescent="0.35">
      <c r="A60" s="71">
        <v>45173</v>
      </c>
      <c r="B60" s="72" t="s">
        <v>14</v>
      </c>
      <c r="C60" s="74" t="s">
        <v>126</v>
      </c>
    </row>
    <row r="61" spans="1:3" x14ac:dyDescent="0.35">
      <c r="A61" s="71">
        <v>45537</v>
      </c>
      <c r="B61" s="72" t="s">
        <v>14</v>
      </c>
      <c r="C61" s="74" t="s">
        <v>126</v>
      </c>
    </row>
    <row r="62" spans="1:3" x14ac:dyDescent="0.35">
      <c r="A62" s="71">
        <v>45901</v>
      </c>
      <c r="B62" s="72" t="s">
        <v>14</v>
      </c>
      <c r="C62" s="74" t="s">
        <v>126</v>
      </c>
    </row>
    <row r="63" spans="1:3" x14ac:dyDescent="0.35">
      <c r="A63" s="71">
        <v>42023</v>
      </c>
      <c r="B63" s="72" t="s">
        <v>15</v>
      </c>
      <c r="C63" s="74" t="s">
        <v>126</v>
      </c>
    </row>
    <row r="64" spans="1:3" x14ac:dyDescent="0.35">
      <c r="A64" s="71">
        <v>42387</v>
      </c>
      <c r="B64" s="72" t="s">
        <v>15</v>
      </c>
      <c r="C64" s="74" t="s">
        <v>126</v>
      </c>
    </row>
    <row r="65" spans="1:3" x14ac:dyDescent="0.35">
      <c r="A65" s="71">
        <v>42751</v>
      </c>
      <c r="B65" s="72" t="s">
        <v>15</v>
      </c>
      <c r="C65" s="74" t="s">
        <v>126</v>
      </c>
    </row>
    <row r="66" spans="1:3" x14ac:dyDescent="0.35">
      <c r="A66" s="71">
        <v>43115</v>
      </c>
      <c r="B66" s="72" t="s">
        <v>15</v>
      </c>
      <c r="C66" s="74" t="s">
        <v>126</v>
      </c>
    </row>
    <row r="67" spans="1:3" x14ac:dyDescent="0.35">
      <c r="A67" s="71">
        <v>43486</v>
      </c>
      <c r="B67" s="72" t="s">
        <v>15</v>
      </c>
      <c r="C67" s="74" t="s">
        <v>126</v>
      </c>
    </row>
    <row r="68" spans="1:3" x14ac:dyDescent="0.35">
      <c r="A68" s="71">
        <v>43850</v>
      </c>
      <c r="B68" s="72" t="s">
        <v>15</v>
      </c>
      <c r="C68" s="74" t="s">
        <v>126</v>
      </c>
    </row>
    <row r="69" spans="1:3" x14ac:dyDescent="0.35">
      <c r="A69" s="71">
        <v>44214</v>
      </c>
      <c r="B69" s="72" t="s">
        <v>15</v>
      </c>
      <c r="C69" s="74" t="s">
        <v>126</v>
      </c>
    </row>
    <row r="70" spans="1:3" x14ac:dyDescent="0.35">
      <c r="A70" s="71">
        <v>44578</v>
      </c>
      <c r="B70" s="72" t="s">
        <v>15</v>
      </c>
      <c r="C70" s="74" t="s">
        <v>126</v>
      </c>
    </row>
    <row r="71" spans="1:3" x14ac:dyDescent="0.35">
      <c r="A71" s="71">
        <v>44942</v>
      </c>
      <c r="B71" s="72" t="s">
        <v>15</v>
      </c>
      <c r="C71" s="74" t="s">
        <v>126</v>
      </c>
    </row>
    <row r="72" spans="1:3" x14ac:dyDescent="0.35">
      <c r="A72" s="71">
        <v>45306</v>
      </c>
      <c r="B72" s="72" t="s">
        <v>15</v>
      </c>
      <c r="C72" s="74" t="s">
        <v>126</v>
      </c>
    </row>
    <row r="73" spans="1:3" x14ac:dyDescent="0.35">
      <c r="A73" s="71">
        <v>45677</v>
      </c>
      <c r="B73" s="72" t="s">
        <v>15</v>
      </c>
      <c r="C73" s="74" t="s">
        <v>126</v>
      </c>
    </row>
    <row r="74" spans="1:3" x14ac:dyDescent="0.35">
      <c r="A74" s="71">
        <v>42149</v>
      </c>
      <c r="B74" s="72" t="s">
        <v>17</v>
      </c>
      <c r="C74" s="74" t="s">
        <v>126</v>
      </c>
    </row>
    <row r="75" spans="1:3" x14ac:dyDescent="0.35">
      <c r="A75" s="71">
        <v>42520</v>
      </c>
      <c r="B75" s="72" t="s">
        <v>17</v>
      </c>
      <c r="C75" s="74" t="s">
        <v>126</v>
      </c>
    </row>
    <row r="76" spans="1:3" x14ac:dyDescent="0.35">
      <c r="A76" s="71">
        <v>42884</v>
      </c>
      <c r="B76" s="72" t="s">
        <v>17</v>
      </c>
      <c r="C76" s="74" t="s">
        <v>126</v>
      </c>
    </row>
    <row r="77" spans="1:3" x14ac:dyDescent="0.35">
      <c r="A77" s="71">
        <v>43248</v>
      </c>
      <c r="B77" s="72" t="s">
        <v>17</v>
      </c>
      <c r="C77" s="74" t="s">
        <v>126</v>
      </c>
    </row>
    <row r="78" spans="1:3" x14ac:dyDescent="0.35">
      <c r="A78" s="71">
        <v>43612</v>
      </c>
      <c r="B78" s="72" t="s">
        <v>17</v>
      </c>
      <c r="C78" s="74" t="s">
        <v>126</v>
      </c>
    </row>
    <row r="79" spans="1:3" x14ac:dyDescent="0.35">
      <c r="A79" s="71">
        <v>43976</v>
      </c>
      <c r="B79" s="72" t="s">
        <v>17</v>
      </c>
      <c r="C79" s="74" t="s">
        <v>126</v>
      </c>
    </row>
    <row r="80" spans="1:3" x14ac:dyDescent="0.35">
      <c r="A80" s="71">
        <v>44347</v>
      </c>
      <c r="B80" s="72" t="s">
        <v>17</v>
      </c>
      <c r="C80" s="74" t="s">
        <v>126</v>
      </c>
    </row>
    <row r="81" spans="1:3" x14ac:dyDescent="0.35">
      <c r="A81" s="71">
        <v>44711</v>
      </c>
      <c r="B81" s="72" t="s">
        <v>17</v>
      </c>
      <c r="C81" s="74" t="s">
        <v>126</v>
      </c>
    </row>
    <row r="82" spans="1:3" x14ac:dyDescent="0.35">
      <c r="A82" s="71">
        <v>45075</v>
      </c>
      <c r="B82" s="72" t="s">
        <v>17</v>
      </c>
      <c r="C82" s="74" t="s">
        <v>126</v>
      </c>
    </row>
    <row r="83" spans="1:3" x14ac:dyDescent="0.35">
      <c r="A83" s="71">
        <v>45439</v>
      </c>
      <c r="B83" s="72" t="s">
        <v>17</v>
      </c>
      <c r="C83" s="74" t="s">
        <v>126</v>
      </c>
    </row>
    <row r="84" spans="1:3" x14ac:dyDescent="0.35">
      <c r="A84" s="71">
        <v>45803</v>
      </c>
      <c r="B84" s="72" t="s">
        <v>17</v>
      </c>
      <c r="C84" s="74" t="s">
        <v>126</v>
      </c>
    </row>
    <row r="85" spans="1:3" x14ac:dyDescent="0.35">
      <c r="A85" s="71">
        <v>42051</v>
      </c>
      <c r="B85" s="72" t="s">
        <v>16</v>
      </c>
      <c r="C85" s="74" t="s">
        <v>126</v>
      </c>
    </row>
    <row r="86" spans="1:3" x14ac:dyDescent="0.35">
      <c r="A86" s="71">
        <v>42415</v>
      </c>
      <c r="B86" s="72" t="s">
        <v>16</v>
      </c>
      <c r="C86" s="74" t="s">
        <v>126</v>
      </c>
    </row>
    <row r="87" spans="1:3" x14ac:dyDescent="0.35">
      <c r="A87" s="71">
        <v>42786</v>
      </c>
      <c r="B87" s="72" t="s">
        <v>16</v>
      </c>
      <c r="C87" s="74" t="s">
        <v>126</v>
      </c>
    </row>
    <row r="88" spans="1:3" x14ac:dyDescent="0.35">
      <c r="A88" s="71">
        <v>43150</v>
      </c>
      <c r="B88" s="72" t="s">
        <v>16</v>
      </c>
      <c r="C88" s="74" t="s">
        <v>126</v>
      </c>
    </row>
    <row r="89" spans="1:3" x14ac:dyDescent="0.35">
      <c r="A89" s="71">
        <v>43514</v>
      </c>
      <c r="B89" s="72" t="s">
        <v>16</v>
      </c>
      <c r="C89" s="74" t="s">
        <v>126</v>
      </c>
    </row>
    <row r="90" spans="1:3" x14ac:dyDescent="0.35">
      <c r="A90" s="71">
        <v>43878</v>
      </c>
      <c r="B90" s="72" t="s">
        <v>16</v>
      </c>
      <c r="C90" s="74" t="s">
        <v>126</v>
      </c>
    </row>
    <row r="91" spans="1:3" x14ac:dyDescent="0.35">
      <c r="A91" s="71">
        <v>44242</v>
      </c>
      <c r="B91" s="72" t="s">
        <v>16</v>
      </c>
      <c r="C91" s="74" t="s">
        <v>126</v>
      </c>
    </row>
    <row r="92" spans="1:3" x14ac:dyDescent="0.35">
      <c r="A92" s="71">
        <v>44613</v>
      </c>
      <c r="B92" s="72" t="s">
        <v>16</v>
      </c>
      <c r="C92" s="74" t="s">
        <v>126</v>
      </c>
    </row>
    <row r="93" spans="1:3" x14ac:dyDescent="0.35">
      <c r="A93" s="71">
        <v>44977</v>
      </c>
      <c r="B93" s="72" t="s">
        <v>16</v>
      </c>
      <c r="C93" s="74" t="s">
        <v>126</v>
      </c>
    </row>
    <row r="94" spans="1:3" x14ac:dyDescent="0.35">
      <c r="A94" s="71">
        <v>45341</v>
      </c>
      <c r="B94" s="72" t="s">
        <v>16</v>
      </c>
      <c r="C94" s="74" t="s">
        <v>126</v>
      </c>
    </row>
    <row r="95" spans="1:3" x14ac:dyDescent="0.35">
      <c r="A95" s="71">
        <v>45705</v>
      </c>
      <c r="B95" s="72" t="s">
        <v>16</v>
      </c>
      <c r="C95" s="74" t="s">
        <v>126</v>
      </c>
    </row>
    <row r="96" spans="1:3" x14ac:dyDescent="0.35">
      <c r="A96" s="71">
        <v>42334</v>
      </c>
      <c r="B96" s="72" t="s">
        <v>13</v>
      </c>
      <c r="C96" s="74" t="s">
        <v>126</v>
      </c>
    </row>
    <row r="97" spans="1:3" x14ac:dyDescent="0.35">
      <c r="A97" s="71">
        <v>42698</v>
      </c>
      <c r="B97" s="72" t="s">
        <v>13</v>
      </c>
      <c r="C97" s="74" t="s">
        <v>126</v>
      </c>
    </row>
    <row r="98" spans="1:3" x14ac:dyDescent="0.35">
      <c r="A98" s="71">
        <v>43062</v>
      </c>
      <c r="B98" s="72" t="s">
        <v>13</v>
      </c>
      <c r="C98" s="74" t="s">
        <v>126</v>
      </c>
    </row>
    <row r="99" spans="1:3" x14ac:dyDescent="0.35">
      <c r="A99" s="71">
        <v>43426</v>
      </c>
      <c r="B99" s="72" t="s">
        <v>13</v>
      </c>
      <c r="C99" s="74" t="s">
        <v>126</v>
      </c>
    </row>
    <row r="100" spans="1:3" x14ac:dyDescent="0.35">
      <c r="A100" s="71">
        <v>43797</v>
      </c>
      <c r="B100" s="72" t="s">
        <v>13</v>
      </c>
      <c r="C100" s="74" t="s">
        <v>126</v>
      </c>
    </row>
    <row r="101" spans="1:3" x14ac:dyDescent="0.35">
      <c r="A101" s="71">
        <v>44161</v>
      </c>
      <c r="B101" s="72" t="s">
        <v>13</v>
      </c>
      <c r="C101" s="74" t="s">
        <v>126</v>
      </c>
    </row>
    <row r="102" spans="1:3" x14ac:dyDescent="0.35">
      <c r="A102" s="71">
        <v>44525</v>
      </c>
      <c r="B102" s="72" t="s">
        <v>13</v>
      </c>
      <c r="C102" s="74" t="s">
        <v>126</v>
      </c>
    </row>
    <row r="103" spans="1:3" x14ac:dyDescent="0.35">
      <c r="A103" s="71">
        <v>44889</v>
      </c>
      <c r="B103" s="72" t="s">
        <v>13</v>
      </c>
      <c r="C103" s="74" t="s">
        <v>126</v>
      </c>
    </row>
    <row r="104" spans="1:3" x14ac:dyDescent="0.35">
      <c r="A104" s="71">
        <v>45253</v>
      </c>
      <c r="B104" s="72" t="s">
        <v>13</v>
      </c>
      <c r="C104" s="74" t="s">
        <v>126</v>
      </c>
    </row>
    <row r="105" spans="1:3" x14ac:dyDescent="0.35">
      <c r="A105" s="71">
        <v>45624</v>
      </c>
      <c r="B105" s="72" t="s">
        <v>13</v>
      </c>
      <c r="C105" s="74" t="s">
        <v>126</v>
      </c>
    </row>
    <row r="106" spans="1:3" x14ac:dyDescent="0.35">
      <c r="A106" s="71">
        <v>45988</v>
      </c>
      <c r="B106" s="72" t="s">
        <v>13</v>
      </c>
      <c r="C106" s="74" t="s">
        <v>126</v>
      </c>
    </row>
    <row r="107" spans="1:3" x14ac:dyDescent="0.35">
      <c r="A107" s="71">
        <v>42319</v>
      </c>
      <c r="B107" s="72" t="s">
        <v>11</v>
      </c>
      <c r="C107" s="74" t="s">
        <v>126</v>
      </c>
    </row>
    <row r="108" spans="1:3" x14ac:dyDescent="0.35">
      <c r="A108" s="71">
        <v>42685</v>
      </c>
      <c r="B108" s="72" t="s">
        <v>11</v>
      </c>
      <c r="C108" s="74" t="s">
        <v>126</v>
      </c>
    </row>
    <row r="109" spans="1:3" x14ac:dyDescent="0.35">
      <c r="A109" s="71">
        <v>43050</v>
      </c>
      <c r="B109" s="72" t="s">
        <v>11</v>
      </c>
      <c r="C109" s="74" t="s">
        <v>126</v>
      </c>
    </row>
    <row r="110" spans="1:3" x14ac:dyDescent="0.35">
      <c r="A110" s="71">
        <v>43415</v>
      </c>
      <c r="B110" s="72" t="s">
        <v>11</v>
      </c>
      <c r="C110" s="74" t="s">
        <v>126</v>
      </c>
    </row>
    <row r="111" spans="1:3" x14ac:dyDescent="0.35">
      <c r="A111" s="71">
        <v>43780</v>
      </c>
      <c r="B111" s="72" t="s">
        <v>11</v>
      </c>
      <c r="C111" s="74" t="s">
        <v>126</v>
      </c>
    </row>
    <row r="112" spans="1:3" x14ac:dyDescent="0.35">
      <c r="A112" s="71">
        <v>44146</v>
      </c>
      <c r="B112" s="72" t="s">
        <v>11</v>
      </c>
      <c r="C112" s="74" t="s">
        <v>126</v>
      </c>
    </row>
    <row r="113" spans="1:3" x14ac:dyDescent="0.35">
      <c r="A113" s="71">
        <v>44511</v>
      </c>
      <c r="B113" s="72" t="s">
        <v>11</v>
      </c>
      <c r="C113" s="74" t="s">
        <v>126</v>
      </c>
    </row>
    <row r="114" spans="1:3" x14ac:dyDescent="0.35">
      <c r="A114" s="71">
        <v>44876</v>
      </c>
      <c r="B114" s="72" t="s">
        <v>11</v>
      </c>
      <c r="C114" s="74" t="s">
        <v>126</v>
      </c>
    </row>
    <row r="115" spans="1:3" x14ac:dyDescent="0.35">
      <c r="A115" s="71">
        <v>45241</v>
      </c>
      <c r="B115" s="72" t="s">
        <v>11</v>
      </c>
      <c r="C115" s="74" t="s">
        <v>126</v>
      </c>
    </row>
    <row r="116" spans="1:3" x14ac:dyDescent="0.35">
      <c r="A116" s="71">
        <v>45607</v>
      </c>
      <c r="B116" s="72" t="s">
        <v>11</v>
      </c>
      <c r="C116" s="74" t="s">
        <v>126</v>
      </c>
    </row>
    <row r="117" spans="1:3" x14ac:dyDescent="0.35">
      <c r="A117" s="71">
        <v>45972</v>
      </c>
      <c r="B117" s="72" t="s">
        <v>11</v>
      </c>
      <c r="C117" s="74" t="s">
        <v>126</v>
      </c>
    </row>
    <row r="118" spans="1:3" x14ac:dyDescent="0.35">
      <c r="A118" s="71">
        <v>42364</v>
      </c>
      <c r="B118" s="72" t="s">
        <v>127</v>
      </c>
      <c r="C118" s="74" t="s">
        <v>128</v>
      </c>
    </row>
    <row r="119" spans="1:3" x14ac:dyDescent="0.35">
      <c r="A119" s="71">
        <v>42730</v>
      </c>
      <c r="B119" s="72" t="s">
        <v>127</v>
      </c>
      <c r="C119" s="74" t="s">
        <v>128</v>
      </c>
    </row>
    <row r="120" spans="1:3" x14ac:dyDescent="0.35">
      <c r="A120" s="71">
        <v>43095</v>
      </c>
      <c r="B120" s="72" t="s">
        <v>127</v>
      </c>
      <c r="C120" s="74" t="s">
        <v>128</v>
      </c>
    </row>
    <row r="121" spans="1:3" x14ac:dyDescent="0.35">
      <c r="A121" s="71">
        <v>43460</v>
      </c>
      <c r="B121" s="72" t="s">
        <v>127</v>
      </c>
      <c r="C121" s="74" t="s">
        <v>128</v>
      </c>
    </row>
    <row r="122" spans="1:3" x14ac:dyDescent="0.35">
      <c r="A122" s="71">
        <v>43825</v>
      </c>
      <c r="B122" s="72" t="s">
        <v>127</v>
      </c>
      <c r="C122" s="74" t="s">
        <v>128</v>
      </c>
    </row>
    <row r="123" spans="1:3" x14ac:dyDescent="0.35">
      <c r="A123" s="71">
        <v>44191</v>
      </c>
      <c r="B123" s="72" t="s">
        <v>127</v>
      </c>
      <c r="C123" s="74" t="s">
        <v>128</v>
      </c>
    </row>
    <row r="124" spans="1:3" x14ac:dyDescent="0.35">
      <c r="A124" s="71">
        <v>44556</v>
      </c>
      <c r="B124" s="72" t="s">
        <v>127</v>
      </c>
      <c r="C124" s="74" t="s">
        <v>128</v>
      </c>
    </row>
    <row r="125" spans="1:3" x14ac:dyDescent="0.35">
      <c r="A125" s="71">
        <v>44921</v>
      </c>
      <c r="B125" s="72" t="s">
        <v>127</v>
      </c>
      <c r="C125" s="74" t="s">
        <v>128</v>
      </c>
    </row>
    <row r="126" spans="1:3" x14ac:dyDescent="0.35">
      <c r="A126" s="71">
        <v>45286</v>
      </c>
      <c r="B126" s="72" t="s">
        <v>127</v>
      </c>
      <c r="C126" s="74" t="s">
        <v>128</v>
      </c>
    </row>
    <row r="127" spans="1:3" x14ac:dyDescent="0.35">
      <c r="A127" s="71">
        <v>45652</v>
      </c>
      <c r="B127" s="72" t="s">
        <v>127</v>
      </c>
      <c r="C127" s="74" t="s">
        <v>128</v>
      </c>
    </row>
    <row r="128" spans="1:3" x14ac:dyDescent="0.35">
      <c r="A128" s="71">
        <v>46017</v>
      </c>
      <c r="B128" s="72" t="s">
        <v>127</v>
      </c>
      <c r="C128" s="74" t="s">
        <v>128</v>
      </c>
    </row>
    <row r="129" spans="1:3" x14ac:dyDescent="0.35">
      <c r="A129" s="71">
        <v>42097</v>
      </c>
      <c r="B129" s="72" t="s">
        <v>129</v>
      </c>
      <c r="C129" s="74" t="s">
        <v>128</v>
      </c>
    </row>
    <row r="130" spans="1:3" x14ac:dyDescent="0.35">
      <c r="A130" s="71">
        <v>42454</v>
      </c>
      <c r="B130" s="72" t="s">
        <v>129</v>
      </c>
      <c r="C130" s="74" t="s">
        <v>128</v>
      </c>
    </row>
    <row r="131" spans="1:3" x14ac:dyDescent="0.35">
      <c r="A131" s="71">
        <v>42839</v>
      </c>
      <c r="B131" s="72" t="s">
        <v>129</v>
      </c>
      <c r="C131" s="74" t="s">
        <v>128</v>
      </c>
    </row>
    <row r="132" spans="1:3" x14ac:dyDescent="0.35">
      <c r="A132" s="71">
        <v>43189</v>
      </c>
      <c r="B132" s="72" t="s">
        <v>129</v>
      </c>
      <c r="C132" s="74" t="s">
        <v>128</v>
      </c>
    </row>
    <row r="133" spans="1:3" x14ac:dyDescent="0.35">
      <c r="A133" s="71">
        <v>43574</v>
      </c>
      <c r="B133" s="72" t="s">
        <v>129</v>
      </c>
      <c r="C133" s="74" t="s">
        <v>128</v>
      </c>
    </row>
    <row r="134" spans="1:3" x14ac:dyDescent="0.35">
      <c r="A134" s="71">
        <v>43931</v>
      </c>
      <c r="B134" s="72" t="s">
        <v>129</v>
      </c>
      <c r="C134" s="74" t="s">
        <v>128</v>
      </c>
    </row>
    <row r="135" spans="1:3" x14ac:dyDescent="0.35">
      <c r="A135" s="71">
        <v>44288</v>
      </c>
      <c r="B135" s="72" t="s">
        <v>129</v>
      </c>
      <c r="C135" s="74" t="s">
        <v>128</v>
      </c>
    </row>
    <row r="136" spans="1:3" x14ac:dyDescent="0.35">
      <c r="A136" s="71">
        <v>44666</v>
      </c>
      <c r="B136" s="72" t="s">
        <v>129</v>
      </c>
      <c r="C136" s="74" t="s">
        <v>128</v>
      </c>
    </row>
    <row r="137" spans="1:3" x14ac:dyDescent="0.35">
      <c r="A137" s="71">
        <v>45023</v>
      </c>
      <c r="B137" s="72" t="s">
        <v>129</v>
      </c>
      <c r="C137" s="74" t="s">
        <v>128</v>
      </c>
    </row>
    <row r="138" spans="1:3" x14ac:dyDescent="0.35">
      <c r="A138" s="71">
        <v>45380</v>
      </c>
      <c r="B138" s="72" t="s">
        <v>129</v>
      </c>
      <c r="C138" s="74" t="s">
        <v>128</v>
      </c>
    </row>
    <row r="139" spans="1:3" x14ac:dyDescent="0.35">
      <c r="A139" s="71">
        <v>45765</v>
      </c>
      <c r="B139" s="72" t="s">
        <v>129</v>
      </c>
      <c r="C139" s="74" t="s">
        <v>128</v>
      </c>
    </row>
    <row r="140" spans="1:3" x14ac:dyDescent="0.35">
      <c r="A140" s="71">
        <v>42100</v>
      </c>
      <c r="B140" s="72" t="s">
        <v>130</v>
      </c>
      <c r="C140" s="74" t="s">
        <v>128</v>
      </c>
    </row>
    <row r="141" spans="1:3" x14ac:dyDescent="0.35">
      <c r="A141" s="71">
        <v>42457</v>
      </c>
      <c r="B141" s="72" t="s">
        <v>130</v>
      </c>
      <c r="C141" s="74" t="s">
        <v>128</v>
      </c>
    </row>
    <row r="142" spans="1:3" x14ac:dyDescent="0.35">
      <c r="A142" s="71">
        <v>42842</v>
      </c>
      <c r="B142" s="72" t="s">
        <v>130</v>
      </c>
      <c r="C142" s="74" t="s">
        <v>128</v>
      </c>
    </row>
    <row r="143" spans="1:3" x14ac:dyDescent="0.35">
      <c r="A143" s="71">
        <v>43192</v>
      </c>
      <c r="B143" s="72" t="s">
        <v>130</v>
      </c>
      <c r="C143" s="74" t="s">
        <v>128</v>
      </c>
    </row>
    <row r="144" spans="1:3" x14ac:dyDescent="0.35">
      <c r="A144" s="71">
        <v>43577</v>
      </c>
      <c r="B144" s="72" t="s">
        <v>130</v>
      </c>
      <c r="C144" s="74" t="s">
        <v>128</v>
      </c>
    </row>
    <row r="145" spans="1:3" x14ac:dyDescent="0.35">
      <c r="A145" s="71">
        <v>43934</v>
      </c>
      <c r="B145" s="72" t="s">
        <v>130</v>
      </c>
      <c r="C145" s="74" t="s">
        <v>128</v>
      </c>
    </row>
    <row r="146" spans="1:3" x14ac:dyDescent="0.35">
      <c r="A146" s="71">
        <v>44291</v>
      </c>
      <c r="B146" s="72" t="s">
        <v>130</v>
      </c>
      <c r="C146" s="74" t="s">
        <v>128</v>
      </c>
    </row>
    <row r="147" spans="1:3" x14ac:dyDescent="0.35">
      <c r="A147" s="71">
        <v>44669</v>
      </c>
      <c r="B147" s="72" t="s">
        <v>130</v>
      </c>
      <c r="C147" s="74" t="s">
        <v>128</v>
      </c>
    </row>
    <row r="148" spans="1:3" x14ac:dyDescent="0.35">
      <c r="A148" s="71">
        <v>45026</v>
      </c>
      <c r="B148" s="72" t="s">
        <v>130</v>
      </c>
      <c r="C148" s="74" t="s">
        <v>128</v>
      </c>
    </row>
    <row r="149" spans="1:3" x14ac:dyDescent="0.35">
      <c r="A149" s="71">
        <v>45383</v>
      </c>
      <c r="B149" s="72" t="s">
        <v>130</v>
      </c>
      <c r="C149" s="74" t="s">
        <v>128</v>
      </c>
    </row>
    <row r="150" spans="1:3" x14ac:dyDescent="0.35">
      <c r="A150" s="71">
        <v>45768</v>
      </c>
      <c r="B150" s="72" t="s">
        <v>130</v>
      </c>
      <c r="C150" s="74" t="s">
        <v>128</v>
      </c>
    </row>
    <row r="151" spans="1:3" x14ac:dyDescent="0.35">
      <c r="A151" s="71">
        <v>42128</v>
      </c>
      <c r="B151" s="72" t="s">
        <v>131</v>
      </c>
      <c r="C151" s="74" t="s">
        <v>128</v>
      </c>
    </row>
    <row r="152" spans="1:3" x14ac:dyDescent="0.35">
      <c r="A152" s="71">
        <v>42492</v>
      </c>
      <c r="B152" s="72" t="s">
        <v>131</v>
      </c>
      <c r="C152" s="74" t="s">
        <v>128</v>
      </c>
    </row>
    <row r="153" spans="1:3" x14ac:dyDescent="0.35">
      <c r="A153" s="71">
        <v>42856</v>
      </c>
      <c r="B153" s="72" t="s">
        <v>131</v>
      </c>
      <c r="C153" s="74" t="s">
        <v>128</v>
      </c>
    </row>
    <row r="154" spans="1:3" x14ac:dyDescent="0.35">
      <c r="A154" s="71">
        <v>43227</v>
      </c>
      <c r="B154" s="72" t="s">
        <v>131</v>
      </c>
      <c r="C154" s="74" t="s">
        <v>128</v>
      </c>
    </row>
    <row r="155" spans="1:3" x14ac:dyDescent="0.35">
      <c r="A155" s="71">
        <v>43591</v>
      </c>
      <c r="B155" s="72" t="s">
        <v>131</v>
      </c>
      <c r="C155" s="74" t="s">
        <v>128</v>
      </c>
    </row>
    <row r="156" spans="1:3" x14ac:dyDescent="0.35">
      <c r="A156" s="71">
        <v>43955</v>
      </c>
      <c r="B156" s="72" t="s">
        <v>131</v>
      </c>
      <c r="C156" s="74" t="s">
        <v>128</v>
      </c>
    </row>
    <row r="157" spans="1:3" x14ac:dyDescent="0.35">
      <c r="A157" s="71">
        <v>44319</v>
      </c>
      <c r="B157" s="72" t="s">
        <v>131</v>
      </c>
      <c r="C157" s="74" t="s">
        <v>128</v>
      </c>
    </row>
    <row r="158" spans="1:3" x14ac:dyDescent="0.35">
      <c r="A158" s="71">
        <v>44683</v>
      </c>
      <c r="B158" s="72" t="s">
        <v>131</v>
      </c>
      <c r="C158" s="74" t="s">
        <v>128</v>
      </c>
    </row>
    <row r="159" spans="1:3" x14ac:dyDescent="0.35">
      <c r="A159" s="71">
        <v>45047</v>
      </c>
      <c r="B159" s="72" t="s">
        <v>131</v>
      </c>
      <c r="C159" s="74" t="s">
        <v>128</v>
      </c>
    </row>
    <row r="160" spans="1:3" x14ac:dyDescent="0.35">
      <c r="A160" s="71">
        <v>45418</v>
      </c>
      <c r="B160" s="72" t="s">
        <v>131</v>
      </c>
      <c r="C160" s="74" t="s">
        <v>128</v>
      </c>
    </row>
    <row r="161" spans="1:3" x14ac:dyDescent="0.35">
      <c r="A161" s="71">
        <v>45782</v>
      </c>
      <c r="B161" s="72" t="s">
        <v>131</v>
      </c>
      <c r="C161" s="74" t="s">
        <v>128</v>
      </c>
    </row>
    <row r="162" spans="1:3" x14ac:dyDescent="0.35">
      <c r="A162" s="71">
        <v>42149</v>
      </c>
      <c r="B162" s="72" t="s">
        <v>132</v>
      </c>
      <c r="C162" s="74" t="s">
        <v>128</v>
      </c>
    </row>
    <row r="163" spans="1:3" x14ac:dyDescent="0.35">
      <c r="A163" s="71">
        <v>42520</v>
      </c>
      <c r="B163" s="72" t="s">
        <v>132</v>
      </c>
      <c r="C163" s="74" t="s">
        <v>128</v>
      </c>
    </row>
    <row r="164" spans="1:3" x14ac:dyDescent="0.35">
      <c r="A164" s="71">
        <v>42884</v>
      </c>
      <c r="B164" s="72" t="s">
        <v>132</v>
      </c>
      <c r="C164" s="74" t="s">
        <v>128</v>
      </c>
    </row>
    <row r="165" spans="1:3" x14ac:dyDescent="0.35">
      <c r="A165" s="71">
        <v>43248</v>
      </c>
      <c r="B165" s="72" t="s">
        <v>132</v>
      </c>
      <c r="C165" s="74" t="s">
        <v>128</v>
      </c>
    </row>
    <row r="166" spans="1:3" x14ac:dyDescent="0.35">
      <c r="A166" s="71">
        <v>43612</v>
      </c>
      <c r="B166" s="72" t="s">
        <v>132</v>
      </c>
      <c r="C166" s="74" t="s">
        <v>128</v>
      </c>
    </row>
    <row r="167" spans="1:3" x14ac:dyDescent="0.35">
      <c r="A167" s="71">
        <v>43976</v>
      </c>
      <c r="B167" s="72" t="s">
        <v>132</v>
      </c>
      <c r="C167" s="74" t="s">
        <v>128</v>
      </c>
    </row>
    <row r="168" spans="1:3" x14ac:dyDescent="0.35">
      <c r="A168" s="71">
        <v>44347</v>
      </c>
      <c r="B168" s="72" t="s">
        <v>132</v>
      </c>
      <c r="C168" s="74" t="s">
        <v>128</v>
      </c>
    </row>
    <row r="169" spans="1:3" x14ac:dyDescent="0.35">
      <c r="A169" s="71">
        <v>44711</v>
      </c>
      <c r="B169" s="72" t="s">
        <v>132</v>
      </c>
      <c r="C169" s="74" t="s">
        <v>128</v>
      </c>
    </row>
    <row r="170" spans="1:3" x14ac:dyDescent="0.35">
      <c r="A170" s="71">
        <v>45075</v>
      </c>
      <c r="B170" s="72" t="s">
        <v>132</v>
      </c>
      <c r="C170" s="74" t="s">
        <v>128</v>
      </c>
    </row>
    <row r="171" spans="1:3" x14ac:dyDescent="0.35">
      <c r="A171" s="71">
        <v>45439</v>
      </c>
      <c r="B171" s="72" t="s">
        <v>132</v>
      </c>
      <c r="C171" s="74" t="s">
        <v>128</v>
      </c>
    </row>
    <row r="172" spans="1:3" x14ac:dyDescent="0.35">
      <c r="A172" s="71">
        <v>45803</v>
      </c>
      <c r="B172" s="72" t="s">
        <v>132</v>
      </c>
      <c r="C172" s="74" t="s">
        <v>128</v>
      </c>
    </row>
    <row r="173" spans="1:3" x14ac:dyDescent="0.35">
      <c r="A173" s="71">
        <v>42219</v>
      </c>
      <c r="B173" s="72" t="s">
        <v>133</v>
      </c>
      <c r="C173" s="74" t="s">
        <v>128</v>
      </c>
    </row>
    <row r="174" spans="1:3" x14ac:dyDescent="0.35">
      <c r="A174" s="71">
        <v>42583</v>
      </c>
      <c r="B174" s="72" t="s">
        <v>133</v>
      </c>
      <c r="C174" s="74" t="s">
        <v>128</v>
      </c>
    </row>
    <row r="175" spans="1:3" x14ac:dyDescent="0.35">
      <c r="A175" s="71">
        <v>42954</v>
      </c>
      <c r="B175" s="72" t="s">
        <v>133</v>
      </c>
      <c r="C175" s="74" t="s">
        <v>128</v>
      </c>
    </row>
    <row r="176" spans="1:3" x14ac:dyDescent="0.35">
      <c r="A176" s="71">
        <v>43318</v>
      </c>
      <c r="B176" s="72" t="s">
        <v>133</v>
      </c>
      <c r="C176" s="74" t="s">
        <v>128</v>
      </c>
    </row>
    <row r="177" spans="1:3" x14ac:dyDescent="0.35">
      <c r="A177" s="71">
        <v>43682</v>
      </c>
      <c r="B177" s="72" t="s">
        <v>133</v>
      </c>
      <c r="C177" s="74" t="s">
        <v>128</v>
      </c>
    </row>
    <row r="178" spans="1:3" x14ac:dyDescent="0.35">
      <c r="A178" s="71">
        <v>44046</v>
      </c>
      <c r="B178" s="72" t="s">
        <v>133</v>
      </c>
      <c r="C178" s="74" t="s">
        <v>128</v>
      </c>
    </row>
    <row r="179" spans="1:3" x14ac:dyDescent="0.35">
      <c r="A179" s="71">
        <v>44410</v>
      </c>
      <c r="B179" s="72" t="s">
        <v>133</v>
      </c>
      <c r="C179" s="74" t="s">
        <v>128</v>
      </c>
    </row>
    <row r="180" spans="1:3" x14ac:dyDescent="0.35">
      <c r="A180" s="71">
        <v>44774</v>
      </c>
      <c r="B180" s="72" t="s">
        <v>133</v>
      </c>
      <c r="C180" s="74" t="s">
        <v>128</v>
      </c>
    </row>
    <row r="181" spans="1:3" x14ac:dyDescent="0.35">
      <c r="A181" s="71">
        <v>45145</v>
      </c>
      <c r="B181" s="72" t="s">
        <v>133</v>
      </c>
      <c r="C181" s="74" t="s">
        <v>128</v>
      </c>
    </row>
    <row r="182" spans="1:3" x14ac:dyDescent="0.35">
      <c r="A182" s="71">
        <v>45509</v>
      </c>
      <c r="B182" s="72" t="s">
        <v>133</v>
      </c>
      <c r="C182" s="74" t="s">
        <v>128</v>
      </c>
    </row>
    <row r="183" spans="1:3" x14ac:dyDescent="0.35">
      <c r="A183" s="71">
        <v>45873</v>
      </c>
      <c r="B183" s="72" t="s">
        <v>133</v>
      </c>
      <c r="C183" s="74" t="s">
        <v>128</v>
      </c>
    </row>
    <row r="184" spans="1:3" x14ac:dyDescent="0.35">
      <c r="A184" s="71">
        <v>42247</v>
      </c>
      <c r="B184" s="75" t="s">
        <v>145</v>
      </c>
      <c r="C184" s="74" t="s">
        <v>128</v>
      </c>
    </row>
    <row r="185" spans="1:3" x14ac:dyDescent="0.35">
      <c r="A185" s="71">
        <v>42611</v>
      </c>
      <c r="B185" s="75" t="s">
        <v>145</v>
      </c>
      <c r="C185" s="74" t="s">
        <v>128</v>
      </c>
    </row>
    <row r="186" spans="1:3" x14ac:dyDescent="0.35">
      <c r="A186" s="71">
        <v>42975</v>
      </c>
      <c r="B186" s="75" t="s">
        <v>145</v>
      </c>
      <c r="C186" s="74" t="s">
        <v>128</v>
      </c>
    </row>
    <row r="187" spans="1:3" x14ac:dyDescent="0.35">
      <c r="A187" s="71">
        <v>43339</v>
      </c>
      <c r="B187" s="75" t="s">
        <v>145</v>
      </c>
      <c r="C187" s="74" t="s">
        <v>128</v>
      </c>
    </row>
    <row r="188" spans="1:3" x14ac:dyDescent="0.35">
      <c r="A188" s="71">
        <v>43703</v>
      </c>
      <c r="B188" s="75" t="s">
        <v>145</v>
      </c>
      <c r="C188" s="74" t="s">
        <v>128</v>
      </c>
    </row>
    <row r="189" spans="1:3" x14ac:dyDescent="0.35">
      <c r="A189" s="71">
        <v>44074</v>
      </c>
      <c r="B189" s="75" t="s">
        <v>145</v>
      </c>
      <c r="C189" s="74" t="s">
        <v>128</v>
      </c>
    </row>
    <row r="190" spans="1:3" x14ac:dyDescent="0.35">
      <c r="A190" s="71">
        <v>44438</v>
      </c>
      <c r="B190" s="75" t="s">
        <v>145</v>
      </c>
      <c r="C190" s="74" t="s">
        <v>128</v>
      </c>
    </row>
    <row r="191" spans="1:3" x14ac:dyDescent="0.35">
      <c r="A191" s="71">
        <v>44802</v>
      </c>
      <c r="B191" s="75" t="s">
        <v>145</v>
      </c>
      <c r="C191" s="74" t="s">
        <v>128</v>
      </c>
    </row>
    <row r="192" spans="1:3" x14ac:dyDescent="0.35">
      <c r="A192" s="71">
        <v>45166</v>
      </c>
      <c r="B192" s="75" t="s">
        <v>145</v>
      </c>
      <c r="C192" s="74" t="s">
        <v>128</v>
      </c>
    </row>
    <row r="193" spans="1:3" x14ac:dyDescent="0.35">
      <c r="A193" s="71">
        <v>45530</v>
      </c>
      <c r="B193" s="75" t="s">
        <v>145</v>
      </c>
      <c r="C193" s="74" t="s">
        <v>128</v>
      </c>
    </row>
    <row r="194" spans="1:3" x14ac:dyDescent="0.35">
      <c r="A194" s="71">
        <v>45894</v>
      </c>
      <c r="B194" s="75" t="s">
        <v>145</v>
      </c>
      <c r="C194" s="74" t="s">
        <v>128</v>
      </c>
    </row>
    <row r="195" spans="1:3" x14ac:dyDescent="0.35">
      <c r="A195" s="71"/>
      <c r="B195" s="72"/>
      <c r="C195" s="73"/>
    </row>
    <row r="196" spans="1:3" x14ac:dyDescent="0.35">
      <c r="A196" s="71"/>
      <c r="B196" s="72"/>
      <c r="C196" s="73"/>
    </row>
    <row r="197" spans="1:3" x14ac:dyDescent="0.35">
      <c r="A197" s="71"/>
      <c r="B197" s="72"/>
      <c r="C197" s="73"/>
    </row>
    <row r="198" spans="1:3" x14ac:dyDescent="0.35">
      <c r="A198" s="71"/>
      <c r="B198" s="72"/>
      <c r="C198" s="73"/>
    </row>
    <row r="199" spans="1:3" x14ac:dyDescent="0.35">
      <c r="A199" s="71"/>
      <c r="B199" s="72"/>
      <c r="C199" s="73"/>
    </row>
    <row r="200" spans="1:3" x14ac:dyDescent="0.35">
      <c r="A200" s="71"/>
      <c r="B200" s="72"/>
      <c r="C200" s="73"/>
    </row>
    <row r="201" spans="1:3" x14ac:dyDescent="0.35">
      <c r="A201" s="71"/>
      <c r="B201" s="72"/>
      <c r="C201" s="73"/>
    </row>
    <row r="202" spans="1:3" x14ac:dyDescent="0.35">
      <c r="A202" s="71"/>
      <c r="B202" s="72"/>
      <c r="C202" s="73"/>
    </row>
    <row r="203" spans="1:3" x14ac:dyDescent="0.35">
      <c r="A203" s="71"/>
      <c r="B203" s="72"/>
      <c r="C203" s="73"/>
    </row>
    <row r="204" spans="1:3" x14ac:dyDescent="0.35">
      <c r="A204" s="71"/>
      <c r="B204" s="72"/>
      <c r="C204" s="73"/>
    </row>
    <row r="205" spans="1:3" x14ac:dyDescent="0.35">
      <c r="A205" s="71"/>
      <c r="B205" s="72"/>
      <c r="C205" s="73"/>
    </row>
    <row r="206" spans="1:3" x14ac:dyDescent="0.35">
      <c r="A206" s="71"/>
      <c r="B206" s="72"/>
      <c r="C206" s="73"/>
    </row>
    <row r="207" spans="1:3" x14ac:dyDescent="0.35">
      <c r="A207" s="71"/>
      <c r="B207" s="72"/>
      <c r="C207" s="73"/>
    </row>
    <row r="208" spans="1:3" x14ac:dyDescent="0.35">
      <c r="A208" s="71"/>
      <c r="B208" s="72"/>
      <c r="C208" s="73"/>
    </row>
    <row r="209" spans="1:3" x14ac:dyDescent="0.35">
      <c r="A209" s="71"/>
      <c r="B209" s="72"/>
      <c r="C209" s="73"/>
    </row>
    <row r="210" spans="1:3" x14ac:dyDescent="0.35">
      <c r="A210" s="71"/>
      <c r="B210" s="72"/>
      <c r="C210" s="73"/>
    </row>
    <row r="211" spans="1:3" x14ac:dyDescent="0.35">
      <c r="A211" s="71"/>
      <c r="B211" s="72"/>
      <c r="C211" s="73"/>
    </row>
    <row r="212" spans="1:3" x14ac:dyDescent="0.35">
      <c r="A212" s="71"/>
      <c r="B212" s="72"/>
      <c r="C212" s="73"/>
    </row>
    <row r="213" spans="1:3" x14ac:dyDescent="0.35">
      <c r="A213" s="71"/>
      <c r="B213" s="72"/>
      <c r="C213" s="73"/>
    </row>
    <row r="214" spans="1:3" x14ac:dyDescent="0.35">
      <c r="A214" s="71"/>
      <c r="B214" s="72"/>
      <c r="C214" s="73"/>
    </row>
    <row r="215" spans="1:3" x14ac:dyDescent="0.35">
      <c r="A215" s="16"/>
      <c r="B215" s="5"/>
    </row>
    <row r="216" spans="1:3" x14ac:dyDescent="0.35">
      <c r="A216" s="16"/>
      <c r="B216" s="5"/>
    </row>
    <row r="217" spans="1:3" x14ac:dyDescent="0.35">
      <c r="A217" s="16"/>
      <c r="B217" s="5"/>
    </row>
    <row r="218" spans="1:3" x14ac:dyDescent="0.35">
      <c r="A218" s="16"/>
      <c r="B218" s="5"/>
    </row>
    <row r="219" spans="1:3" x14ac:dyDescent="0.35">
      <c r="A219" s="16"/>
      <c r="B219" s="5"/>
    </row>
    <row r="220" spans="1:3" x14ac:dyDescent="0.35">
      <c r="A220" s="16"/>
      <c r="B220" s="5"/>
    </row>
    <row r="221" spans="1:3" x14ac:dyDescent="0.35">
      <c r="A221" s="16"/>
      <c r="B221" s="5"/>
    </row>
    <row r="222" spans="1:3" x14ac:dyDescent="0.35">
      <c r="A222" s="16"/>
      <c r="B222" s="5"/>
    </row>
    <row r="223" spans="1:3" x14ac:dyDescent="0.35">
      <c r="A223" s="16"/>
      <c r="B223" s="5"/>
    </row>
    <row r="224" spans="1:3" x14ac:dyDescent="0.35">
      <c r="A224" s="16"/>
      <c r="B224" s="5"/>
    </row>
    <row r="225" spans="1:2" x14ac:dyDescent="0.35">
      <c r="A225" s="16"/>
      <c r="B225" s="5"/>
    </row>
    <row r="226" spans="1:2" x14ac:dyDescent="0.35">
      <c r="A226" s="16"/>
      <c r="B226" s="5"/>
    </row>
    <row r="227" spans="1:2" x14ac:dyDescent="0.35">
      <c r="A227" s="16"/>
      <c r="B227" s="5"/>
    </row>
    <row r="228" spans="1:2" x14ac:dyDescent="0.35">
      <c r="A228" s="16"/>
      <c r="B228" s="5"/>
    </row>
    <row r="229" spans="1:2" x14ac:dyDescent="0.35">
      <c r="A229" s="16"/>
      <c r="B229" s="5"/>
    </row>
    <row r="230" spans="1:2" x14ac:dyDescent="0.35">
      <c r="A230" s="16"/>
      <c r="B230" s="5"/>
    </row>
    <row r="231" spans="1:2" x14ac:dyDescent="0.35">
      <c r="A231" s="16"/>
      <c r="B231" s="5"/>
    </row>
    <row r="232" spans="1:2" x14ac:dyDescent="0.35">
      <c r="A232" s="16"/>
      <c r="B232" s="5"/>
    </row>
    <row r="233" spans="1:2" x14ac:dyDescent="0.35">
      <c r="A233" s="16"/>
      <c r="B233" s="5"/>
    </row>
    <row r="234" spans="1:2" x14ac:dyDescent="0.35">
      <c r="A234" s="16"/>
      <c r="B234" s="5"/>
    </row>
    <row r="235" spans="1:2" x14ac:dyDescent="0.35">
      <c r="A235" s="16"/>
      <c r="B235" s="5"/>
    </row>
    <row r="236" spans="1:2" x14ac:dyDescent="0.35">
      <c r="A236" s="16"/>
      <c r="B236" s="5"/>
    </row>
    <row r="237" spans="1:2" x14ac:dyDescent="0.35">
      <c r="A237" s="16"/>
      <c r="B237" s="5"/>
    </row>
    <row r="238" spans="1:2" x14ac:dyDescent="0.35">
      <c r="A238" s="16"/>
      <c r="B238" s="5"/>
    </row>
    <row r="239" spans="1:2" x14ac:dyDescent="0.35">
      <c r="A239" s="16"/>
      <c r="B239" s="5"/>
    </row>
    <row r="240" spans="1:2" x14ac:dyDescent="0.35">
      <c r="A240" s="16"/>
      <c r="B240" s="5"/>
    </row>
    <row r="241" spans="1:2" x14ac:dyDescent="0.35">
      <c r="A241" s="16"/>
      <c r="B241" s="5"/>
    </row>
    <row r="242" spans="1:2" x14ac:dyDescent="0.35">
      <c r="A242" s="16"/>
      <c r="B242" s="5"/>
    </row>
    <row r="243" spans="1:2" x14ac:dyDescent="0.35">
      <c r="A243" s="16"/>
      <c r="B243" s="5"/>
    </row>
    <row r="244" spans="1:2" x14ac:dyDescent="0.35">
      <c r="A244" s="16"/>
      <c r="B244" s="5"/>
    </row>
    <row r="245" spans="1:2" x14ac:dyDescent="0.35">
      <c r="A245" s="16"/>
      <c r="B245" s="5"/>
    </row>
    <row r="246" spans="1:2" x14ac:dyDescent="0.35">
      <c r="A246" s="16"/>
      <c r="B246" s="5"/>
    </row>
    <row r="247" spans="1:2" x14ac:dyDescent="0.35">
      <c r="A247" s="16"/>
      <c r="B247" s="5"/>
    </row>
    <row r="248" spans="1:2" x14ac:dyDescent="0.35">
      <c r="A248" s="16"/>
      <c r="B248" s="5"/>
    </row>
    <row r="249" spans="1:2" x14ac:dyDescent="0.35">
      <c r="A249" s="16"/>
      <c r="B249" s="5"/>
    </row>
    <row r="250" spans="1:2" x14ac:dyDescent="0.35">
      <c r="A250" s="16"/>
      <c r="B250" s="5"/>
    </row>
    <row r="251" spans="1:2" x14ac:dyDescent="0.35">
      <c r="A251" s="16"/>
      <c r="B251" s="5"/>
    </row>
    <row r="252" spans="1:2" x14ac:dyDescent="0.35">
      <c r="A252" s="16"/>
      <c r="B252" s="5"/>
    </row>
    <row r="253" spans="1:2" x14ac:dyDescent="0.35">
      <c r="A253" s="16"/>
      <c r="B253" s="5"/>
    </row>
    <row r="254" spans="1:2" x14ac:dyDescent="0.35">
      <c r="A254" s="16"/>
      <c r="B254" s="5"/>
    </row>
    <row r="255" spans="1:2" x14ac:dyDescent="0.35">
      <c r="A255" s="16"/>
      <c r="B255" s="5"/>
    </row>
    <row r="256" spans="1:2" x14ac:dyDescent="0.35">
      <c r="A256" s="16"/>
      <c r="B256" s="5"/>
    </row>
    <row r="257" spans="1:2" x14ac:dyDescent="0.35">
      <c r="A257" s="16"/>
      <c r="B257" s="5"/>
    </row>
    <row r="258" spans="1:2" x14ac:dyDescent="0.35">
      <c r="A258" s="16"/>
      <c r="B258" s="5"/>
    </row>
    <row r="259" spans="1:2" x14ac:dyDescent="0.35">
      <c r="A259" s="16"/>
      <c r="B259" s="5"/>
    </row>
    <row r="260" spans="1:2" x14ac:dyDescent="0.35">
      <c r="A260" s="16"/>
      <c r="B260" s="5"/>
    </row>
    <row r="261" spans="1:2" x14ac:dyDescent="0.35">
      <c r="A261" s="16"/>
      <c r="B261" s="5"/>
    </row>
    <row r="262" spans="1:2" x14ac:dyDescent="0.35">
      <c r="A262" s="16"/>
      <c r="B262" s="5"/>
    </row>
    <row r="263" spans="1:2" x14ac:dyDescent="0.35">
      <c r="A263" s="16"/>
      <c r="B263" s="5"/>
    </row>
    <row r="264" spans="1:2" x14ac:dyDescent="0.35">
      <c r="A264" s="16"/>
      <c r="B264" s="5"/>
    </row>
    <row r="265" spans="1:2" x14ac:dyDescent="0.35">
      <c r="A265" s="16"/>
      <c r="B265" s="5"/>
    </row>
    <row r="266" spans="1:2" x14ac:dyDescent="0.35">
      <c r="A266" s="16"/>
      <c r="B266" s="5"/>
    </row>
    <row r="267" spans="1:2" x14ac:dyDescent="0.35">
      <c r="A267" s="16"/>
      <c r="B267" s="5"/>
    </row>
    <row r="268" spans="1:2" x14ac:dyDescent="0.35">
      <c r="A268" s="16"/>
      <c r="B268" s="5"/>
    </row>
    <row r="269" spans="1:2" x14ac:dyDescent="0.35">
      <c r="A269" s="16"/>
      <c r="B269" s="5"/>
    </row>
    <row r="270" spans="1:2" x14ac:dyDescent="0.35">
      <c r="A270" s="16"/>
      <c r="B270" s="5"/>
    </row>
    <row r="271" spans="1:2" x14ac:dyDescent="0.35">
      <c r="A271" s="16"/>
      <c r="B271" s="5"/>
    </row>
  </sheetData>
  <phoneticPr fontId="3"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F215"/>
  <sheetViews>
    <sheetView showGridLines="0" zoomScale="110" zoomScaleNormal="110" workbookViewId="0">
      <selection activeCell="A21" sqref="A21:B21"/>
    </sheetView>
  </sheetViews>
  <sheetFormatPr defaultColWidth="8.796875" defaultRowHeight="12.75" x14ac:dyDescent="0.35"/>
  <cols>
    <col min="1" max="1" width="8.265625" style="9" customWidth="1"/>
    <col min="2" max="2" width="81.73046875" style="9" customWidth="1"/>
    <col min="3" max="3" width="16.46484375" style="9" bestFit="1" customWidth="1"/>
    <col min="4" max="16384" width="8.796875" style="9"/>
  </cols>
  <sheetData>
    <row r="1" spans="1:3" ht="30" customHeight="1" x14ac:dyDescent="0.35">
      <c r="A1" s="51" t="s">
        <v>124</v>
      </c>
      <c r="B1" s="52"/>
    </row>
    <row r="2" spans="1:3" x14ac:dyDescent="0.35">
      <c r="B2" s="17" t="s">
        <v>146</v>
      </c>
    </row>
    <row r="3" spans="1:3" ht="13.15" x14ac:dyDescent="0.4">
      <c r="B3" s="17" t="s">
        <v>20</v>
      </c>
      <c r="C3" s="79" t="s">
        <v>21</v>
      </c>
    </row>
    <row r="4" spans="1:3" ht="15" x14ac:dyDescent="0.4">
      <c r="A4" s="162" t="s">
        <v>19</v>
      </c>
      <c r="B4" s="162"/>
    </row>
    <row r="5" spans="1:3" x14ac:dyDescent="0.35">
      <c r="B5" s="22" t="s">
        <v>116</v>
      </c>
    </row>
    <row r="6" spans="1:3" x14ac:dyDescent="0.35">
      <c r="B6" s="22" t="s">
        <v>117</v>
      </c>
    </row>
    <row r="7" spans="1:3" x14ac:dyDescent="0.35">
      <c r="B7" s="22" t="s">
        <v>118</v>
      </c>
    </row>
    <row r="8" spans="1:3" x14ac:dyDescent="0.35">
      <c r="B8" s="22" t="s">
        <v>119</v>
      </c>
    </row>
    <row r="10" spans="1:3" ht="38.25" x14ac:dyDescent="0.35">
      <c r="B10" s="98" t="s">
        <v>250</v>
      </c>
    </row>
    <row r="12" spans="1:3" x14ac:dyDescent="0.35">
      <c r="B12" s="35" t="s">
        <v>72</v>
      </c>
    </row>
    <row r="14" spans="1:3" x14ac:dyDescent="0.35">
      <c r="B14" s="9" t="s">
        <v>120</v>
      </c>
    </row>
    <row r="16" spans="1:3" ht="15" x14ac:dyDescent="0.4">
      <c r="A16" s="162" t="s">
        <v>147</v>
      </c>
      <c r="B16" s="162"/>
    </row>
    <row r="17" spans="1:3" ht="25.5" x14ac:dyDescent="0.35">
      <c r="B17" s="44" t="s">
        <v>249</v>
      </c>
    </row>
    <row r="18" spans="1:3" x14ac:dyDescent="0.35">
      <c r="B18" s="9" t="s">
        <v>148</v>
      </c>
    </row>
    <row r="19" spans="1:3" ht="25.5" x14ac:dyDescent="0.35">
      <c r="B19" s="44" t="s">
        <v>248</v>
      </c>
    </row>
    <row r="21" spans="1:3" ht="15" x14ac:dyDescent="0.4">
      <c r="A21" s="162" t="s">
        <v>149</v>
      </c>
      <c r="B21" s="162"/>
    </row>
    <row r="22" spans="1:3" ht="38.25" x14ac:dyDescent="0.35">
      <c r="B22" s="44" t="s">
        <v>121</v>
      </c>
    </row>
    <row r="24" spans="1:3" ht="25.5" x14ac:dyDescent="0.35">
      <c r="B24" s="44" t="s">
        <v>239</v>
      </c>
    </row>
    <row r="25" spans="1:3" x14ac:dyDescent="0.35">
      <c r="B25" s="44" t="s">
        <v>240</v>
      </c>
    </row>
    <row r="26" spans="1:3" ht="25.5" x14ac:dyDescent="0.35">
      <c r="B26" s="44" t="s">
        <v>241</v>
      </c>
    </row>
    <row r="27" spans="1:3" ht="38.25" x14ac:dyDescent="0.35">
      <c r="B27" s="44" t="s">
        <v>242</v>
      </c>
    </row>
    <row r="28" spans="1:3" x14ac:dyDescent="0.35">
      <c r="B28" s="44" t="s">
        <v>243</v>
      </c>
    </row>
    <row r="29" spans="1:3" ht="38.25" x14ac:dyDescent="0.35">
      <c r="B29" s="44" t="s">
        <v>244</v>
      </c>
    </row>
    <row r="31" spans="1:3" ht="15" x14ac:dyDescent="0.4">
      <c r="A31" s="162" t="s">
        <v>23</v>
      </c>
      <c r="B31" s="162"/>
    </row>
    <row r="32" spans="1:3" x14ac:dyDescent="0.35">
      <c r="B32" s="9" t="s">
        <v>226</v>
      </c>
      <c r="C32" s="54" t="s">
        <v>8</v>
      </c>
    </row>
    <row r="33" spans="1:3" x14ac:dyDescent="0.35">
      <c r="B33" s="9" t="s">
        <v>227</v>
      </c>
      <c r="C33" s="76" t="s">
        <v>8</v>
      </c>
    </row>
    <row r="34" spans="1:3" x14ac:dyDescent="0.35">
      <c r="B34" s="9" t="s">
        <v>228</v>
      </c>
      <c r="C34" s="70" t="s">
        <v>8</v>
      </c>
    </row>
    <row r="35" spans="1:3" x14ac:dyDescent="0.35">
      <c r="B35" s="9" t="s">
        <v>229</v>
      </c>
    </row>
    <row r="36" spans="1:3" x14ac:dyDescent="0.35">
      <c r="B36" s="36" t="s">
        <v>230</v>
      </c>
    </row>
    <row r="37" spans="1:3" x14ac:dyDescent="0.35">
      <c r="B37" s="9" t="s">
        <v>231</v>
      </c>
      <c r="C37" s="21" t="s">
        <v>22</v>
      </c>
    </row>
    <row r="38" spans="1:3" x14ac:dyDescent="0.35">
      <c r="B38" s="36" t="s">
        <v>232</v>
      </c>
    </row>
    <row r="39" spans="1:3" x14ac:dyDescent="0.35">
      <c r="B39" s="22" t="s">
        <v>233</v>
      </c>
    </row>
    <row r="40" spans="1:3" x14ac:dyDescent="0.35">
      <c r="B40" s="20" t="s">
        <v>150</v>
      </c>
    </row>
    <row r="41" spans="1:3" x14ac:dyDescent="0.35">
      <c r="B41" s="9" t="s">
        <v>234</v>
      </c>
    </row>
    <row r="42" spans="1:3" x14ac:dyDescent="0.35">
      <c r="B42" s="9" t="s">
        <v>235</v>
      </c>
    </row>
    <row r="43" spans="1:3" x14ac:dyDescent="0.35">
      <c r="B43" s="9" t="s">
        <v>236</v>
      </c>
    </row>
    <row r="44" spans="1:3" x14ac:dyDescent="0.35">
      <c r="B44" s="9" t="s">
        <v>237</v>
      </c>
    </row>
    <row r="45" spans="1:3" ht="13.15" x14ac:dyDescent="0.4">
      <c r="B45" s="23" t="s">
        <v>238</v>
      </c>
    </row>
    <row r="46" spans="1:3" ht="13.15" x14ac:dyDescent="0.4">
      <c r="B46" s="19"/>
    </row>
    <row r="47" spans="1:3" ht="15" x14ac:dyDescent="0.4">
      <c r="A47" s="53" t="s">
        <v>211</v>
      </c>
    </row>
    <row r="48" spans="1:3" ht="13.15" x14ac:dyDescent="0.4">
      <c r="C48" s="7" t="s">
        <v>32</v>
      </c>
    </row>
    <row r="49" spans="2:6" x14ac:dyDescent="0.35">
      <c r="B49" s="10" t="s">
        <v>33</v>
      </c>
      <c r="C49" s="8" t="s">
        <v>31</v>
      </c>
    </row>
    <row r="51" spans="2:6" x14ac:dyDescent="0.35">
      <c r="B51" s="9" t="s">
        <v>70</v>
      </c>
      <c r="C51" s="11" t="s">
        <v>34</v>
      </c>
      <c r="D51" s="12" t="s">
        <v>35</v>
      </c>
      <c r="E51" s="12"/>
      <c r="F51" s="12"/>
    </row>
    <row r="52" spans="2:6" x14ac:dyDescent="0.35">
      <c r="B52" s="9" t="s">
        <v>71</v>
      </c>
      <c r="C52" s="24">
        <v>1</v>
      </c>
      <c r="D52" s="9" t="s">
        <v>36</v>
      </c>
    </row>
    <row r="53" spans="2:6" x14ac:dyDescent="0.35">
      <c r="C53" s="24">
        <v>2</v>
      </c>
      <c r="D53" s="9" t="s">
        <v>37</v>
      </c>
    </row>
    <row r="54" spans="2:6" x14ac:dyDescent="0.35">
      <c r="B54" s="9" t="s">
        <v>38</v>
      </c>
      <c r="C54" s="24">
        <v>3</v>
      </c>
      <c r="D54" s="9" t="s">
        <v>39</v>
      </c>
    </row>
    <row r="55" spans="2:6" x14ac:dyDescent="0.35">
      <c r="C55" s="24">
        <v>4</v>
      </c>
      <c r="D55" s="9" t="s">
        <v>40</v>
      </c>
    </row>
    <row r="56" spans="2:6" x14ac:dyDescent="0.35">
      <c r="B56" s="9" t="s">
        <v>41</v>
      </c>
      <c r="C56" s="24">
        <v>5</v>
      </c>
      <c r="D56" s="9" t="s">
        <v>42</v>
      </c>
    </row>
    <row r="57" spans="2:6" x14ac:dyDescent="0.35">
      <c r="B57" s="9" t="s">
        <v>43</v>
      </c>
      <c r="C57" s="24">
        <v>6</v>
      </c>
      <c r="D57" s="9" t="s">
        <v>44</v>
      </c>
    </row>
    <row r="58" spans="2:6" x14ac:dyDescent="0.35">
      <c r="B58" s="9" t="s">
        <v>45</v>
      </c>
      <c r="C58" s="24">
        <v>7</v>
      </c>
      <c r="D58" s="9" t="s">
        <v>46</v>
      </c>
    </row>
    <row r="59" spans="2:6" x14ac:dyDescent="0.35">
      <c r="C59" s="24">
        <v>11</v>
      </c>
      <c r="D59" s="9" t="s">
        <v>47</v>
      </c>
    </row>
    <row r="60" spans="2:6" ht="13.15" x14ac:dyDescent="0.4">
      <c r="B60" s="9" t="s">
        <v>63</v>
      </c>
      <c r="C60" s="24">
        <v>12</v>
      </c>
      <c r="D60" s="9" t="s">
        <v>48</v>
      </c>
    </row>
    <row r="61" spans="2:6" x14ac:dyDescent="0.35">
      <c r="C61" s="24">
        <v>13</v>
      </c>
      <c r="D61" s="9" t="s">
        <v>49</v>
      </c>
    </row>
    <row r="62" spans="2:6" x14ac:dyDescent="0.35">
      <c r="C62" s="24">
        <v>14</v>
      </c>
      <c r="D62" s="9" t="s">
        <v>50</v>
      </c>
    </row>
    <row r="63" spans="2:6" x14ac:dyDescent="0.35">
      <c r="C63" s="24">
        <v>15</v>
      </c>
      <c r="D63" s="9" t="s">
        <v>51</v>
      </c>
    </row>
    <row r="64" spans="2:6" x14ac:dyDescent="0.35">
      <c r="C64" s="24">
        <v>16</v>
      </c>
      <c r="D64" s="9" t="s">
        <v>52</v>
      </c>
    </row>
    <row r="65" spans="1:4" x14ac:dyDescent="0.35">
      <c r="C65" s="24">
        <v>17</v>
      </c>
      <c r="D65" s="9" t="s">
        <v>53</v>
      </c>
    </row>
    <row r="66" spans="1:4" x14ac:dyDescent="0.35">
      <c r="C66"/>
      <c r="D66" s="46"/>
    </row>
    <row r="67" spans="1:4" ht="15" x14ac:dyDescent="0.4">
      <c r="A67" s="162" t="s">
        <v>217</v>
      </c>
      <c r="B67" s="162"/>
      <c r="C67" s="7" t="s">
        <v>134</v>
      </c>
      <c r="D67" s="46"/>
    </row>
    <row r="68" spans="1:4" x14ac:dyDescent="0.35">
      <c r="B68" s="9" t="s">
        <v>135</v>
      </c>
      <c r="C68" s="91" t="s">
        <v>137</v>
      </c>
      <c r="D68" s="46"/>
    </row>
    <row r="69" spans="1:4" x14ac:dyDescent="0.35">
      <c r="B69" s="9" t="s">
        <v>136</v>
      </c>
      <c r="C69"/>
      <c r="D69" s="46"/>
    </row>
    <row r="71" spans="1:4" ht="15" x14ac:dyDescent="0.4">
      <c r="A71" s="162" t="s">
        <v>212</v>
      </c>
      <c r="B71" s="162"/>
    </row>
    <row r="72" spans="1:4" x14ac:dyDescent="0.35">
      <c r="B72" s="9" t="s">
        <v>174</v>
      </c>
    </row>
    <row r="73" spans="1:4" x14ac:dyDescent="0.35">
      <c r="B73" s="9" t="s">
        <v>175</v>
      </c>
    </row>
    <row r="74" spans="1:4" x14ac:dyDescent="0.35">
      <c r="B74" s="9" t="s">
        <v>156</v>
      </c>
    </row>
    <row r="75" spans="1:4" x14ac:dyDescent="0.35">
      <c r="B75" s="9" t="s">
        <v>157</v>
      </c>
    </row>
    <row r="77" spans="1:4" x14ac:dyDescent="0.35">
      <c r="B77" s="77" t="s">
        <v>158</v>
      </c>
    </row>
    <row r="79" spans="1:4" ht="13.15" x14ac:dyDescent="0.4">
      <c r="B79" s="96" t="s">
        <v>159</v>
      </c>
    </row>
    <row r="80" spans="1:4" x14ac:dyDescent="0.35">
      <c r="B80" s="9" t="s">
        <v>160</v>
      </c>
    </row>
    <row r="81" spans="2:2" x14ac:dyDescent="0.35">
      <c r="B81" s="9" t="s">
        <v>161</v>
      </c>
    </row>
    <row r="82" spans="2:2" x14ac:dyDescent="0.35">
      <c r="B82" s="9" t="s">
        <v>162</v>
      </c>
    </row>
    <row r="84" spans="2:2" ht="13.15" x14ac:dyDescent="0.4">
      <c r="B84" s="96" t="s">
        <v>163</v>
      </c>
    </row>
    <row r="85" spans="2:2" x14ac:dyDescent="0.35">
      <c r="B85" s="9" t="s">
        <v>164</v>
      </c>
    </row>
    <row r="86" spans="2:2" x14ac:dyDescent="0.35">
      <c r="B86" s="9" t="s">
        <v>165</v>
      </c>
    </row>
    <row r="88" spans="2:2" x14ac:dyDescent="0.35">
      <c r="B88" s="9" t="s">
        <v>166</v>
      </c>
    </row>
    <row r="89" spans="2:2" x14ac:dyDescent="0.35">
      <c r="B89" s="9" t="s">
        <v>167</v>
      </c>
    </row>
    <row r="93" spans="2:2" ht="13.15" x14ac:dyDescent="0.4">
      <c r="B93" s="96" t="s">
        <v>168</v>
      </c>
    </row>
    <row r="94" spans="2:2" x14ac:dyDescent="0.35">
      <c r="B94" s="9" t="s">
        <v>169</v>
      </c>
    </row>
    <row r="95" spans="2:2" x14ac:dyDescent="0.35">
      <c r="B95" s="9" t="s">
        <v>170</v>
      </c>
    </row>
    <row r="96" spans="2:2" x14ac:dyDescent="0.35">
      <c r="B96" s="9" t="s">
        <v>162</v>
      </c>
    </row>
    <row r="97" spans="1:2" x14ac:dyDescent="0.35">
      <c r="B97" s="9" t="s">
        <v>171</v>
      </c>
    </row>
    <row r="98" spans="1:2" x14ac:dyDescent="0.35">
      <c r="B98" s="9" t="s">
        <v>172</v>
      </c>
    </row>
    <row r="99" spans="1:2" x14ac:dyDescent="0.35">
      <c r="B99" s="9" t="s">
        <v>173</v>
      </c>
    </row>
    <row r="101" spans="1:2" ht="15" x14ac:dyDescent="0.4">
      <c r="A101" s="162" t="s">
        <v>213</v>
      </c>
      <c r="B101" s="162"/>
    </row>
    <row r="102" spans="1:2" x14ac:dyDescent="0.35">
      <c r="B102" s="36" t="s">
        <v>151</v>
      </c>
    </row>
    <row r="103" spans="1:2" x14ac:dyDescent="0.35">
      <c r="B103" s="36" t="s">
        <v>152</v>
      </c>
    </row>
    <row r="104" spans="1:2" x14ac:dyDescent="0.35">
      <c r="B104" s="36" t="s">
        <v>153</v>
      </c>
    </row>
    <row r="105" spans="1:2" x14ac:dyDescent="0.35">
      <c r="B105" s="36"/>
    </row>
    <row r="106" spans="1:2" ht="15" x14ac:dyDescent="0.4">
      <c r="A106" s="162" t="s">
        <v>214</v>
      </c>
      <c r="B106" s="162"/>
    </row>
    <row r="107" spans="1:2" ht="13.15" x14ac:dyDescent="0.4">
      <c r="B107" s="19" t="s">
        <v>154</v>
      </c>
    </row>
    <row r="108" spans="1:2" x14ac:dyDescent="0.35">
      <c r="B108" s="36" t="s">
        <v>177</v>
      </c>
    </row>
    <row r="109" spans="1:2" x14ac:dyDescent="0.35">
      <c r="B109" s="36" t="s">
        <v>178</v>
      </c>
    </row>
    <row r="111" spans="1:2" ht="25.5" x14ac:dyDescent="0.35">
      <c r="B111" s="38" t="s">
        <v>179</v>
      </c>
    </row>
    <row r="112" spans="1:2" x14ac:dyDescent="0.35">
      <c r="B112" s="38" t="s">
        <v>176</v>
      </c>
    </row>
    <row r="113" spans="1:2" ht="13.15" x14ac:dyDescent="0.4">
      <c r="B113" s="36" t="s">
        <v>245</v>
      </c>
    </row>
    <row r="114" spans="1:2" x14ac:dyDescent="0.35">
      <c r="B114" s="38" t="s">
        <v>246</v>
      </c>
    </row>
    <row r="116" spans="1:2" ht="15" x14ac:dyDescent="0.4">
      <c r="A116" s="162" t="s">
        <v>215</v>
      </c>
      <c r="B116" s="162"/>
    </row>
    <row r="117" spans="1:2" x14ac:dyDescent="0.35">
      <c r="B117" s="9" t="s">
        <v>196</v>
      </c>
    </row>
    <row r="118" spans="1:2" x14ac:dyDescent="0.35">
      <c r="B118" s="9" t="s">
        <v>182</v>
      </c>
    </row>
    <row r="119" spans="1:2" x14ac:dyDescent="0.35">
      <c r="B119" s="9" t="s">
        <v>197</v>
      </c>
    </row>
    <row r="120" spans="1:2" x14ac:dyDescent="0.35">
      <c r="B120" s="9" t="s">
        <v>198</v>
      </c>
    </row>
    <row r="122" spans="1:2" ht="13.15" x14ac:dyDescent="0.4">
      <c r="B122" s="96" t="s">
        <v>189</v>
      </c>
    </row>
    <row r="123" spans="1:2" ht="25.5" x14ac:dyDescent="0.35">
      <c r="B123" s="20" t="s">
        <v>199</v>
      </c>
    </row>
    <row r="124" spans="1:2" x14ac:dyDescent="0.35">
      <c r="B124" s="20"/>
    </row>
    <row r="125" spans="1:2" ht="13.15" x14ac:dyDescent="0.4">
      <c r="A125" s="45"/>
      <c r="B125" s="19" t="s">
        <v>190</v>
      </c>
    </row>
    <row r="126" spans="1:2" ht="13.15" x14ac:dyDescent="0.4">
      <c r="A126" s="40"/>
      <c r="B126" s="37" t="s">
        <v>191</v>
      </c>
    </row>
    <row r="127" spans="1:2" ht="25.5" x14ac:dyDescent="0.35">
      <c r="A127" s="39"/>
      <c r="B127" s="42" t="s">
        <v>183</v>
      </c>
    </row>
    <row r="128" spans="1:2" x14ac:dyDescent="0.35">
      <c r="A128" s="39"/>
      <c r="B128" s="42" t="s">
        <v>185</v>
      </c>
    </row>
    <row r="129" spans="1:2" x14ac:dyDescent="0.35">
      <c r="A129" s="39"/>
      <c r="B129" s="78" t="s">
        <v>184</v>
      </c>
    </row>
    <row r="130" spans="1:2" ht="13.15" x14ac:dyDescent="0.4">
      <c r="A130" s="40"/>
      <c r="B130" s="37" t="s">
        <v>192</v>
      </c>
    </row>
    <row r="131" spans="1:2" x14ac:dyDescent="0.35">
      <c r="A131" s="39"/>
      <c r="B131" s="78" t="s">
        <v>186</v>
      </c>
    </row>
    <row r="132" spans="1:2" x14ac:dyDescent="0.35">
      <c r="A132" s="39"/>
      <c r="B132" s="78" t="s">
        <v>187</v>
      </c>
    </row>
    <row r="133" spans="1:2" ht="13.15" x14ac:dyDescent="0.4">
      <c r="A133" s="40"/>
      <c r="B133" s="37" t="s">
        <v>193</v>
      </c>
    </row>
    <row r="134" spans="1:2" ht="25.5" x14ac:dyDescent="0.35">
      <c r="A134" s="39"/>
      <c r="B134" s="78" t="s">
        <v>188</v>
      </c>
    </row>
    <row r="135" spans="1:2" x14ac:dyDescent="0.35">
      <c r="B135" s="18"/>
    </row>
    <row r="136" spans="1:2" ht="25.9" x14ac:dyDescent="0.35">
      <c r="B136" s="41" t="s">
        <v>200</v>
      </c>
    </row>
    <row r="138" spans="1:2" ht="13.15" x14ac:dyDescent="0.4">
      <c r="B138" s="96" t="s">
        <v>181</v>
      </c>
    </row>
    <row r="139" spans="1:2" ht="38.25" x14ac:dyDescent="0.35">
      <c r="B139" s="20" t="s">
        <v>201</v>
      </c>
    </row>
    <row r="140" spans="1:2" ht="13.15" x14ac:dyDescent="0.4">
      <c r="A140" s="45"/>
      <c r="B140" s="19" t="s">
        <v>194</v>
      </c>
    </row>
    <row r="141" spans="1:2" ht="25.5" x14ac:dyDescent="0.35">
      <c r="B141" s="20" t="s">
        <v>202</v>
      </c>
    </row>
    <row r="142" spans="1:2" ht="13.15" x14ac:dyDescent="0.4">
      <c r="A142" s="45"/>
      <c r="B142" s="19" t="s">
        <v>195</v>
      </c>
    </row>
    <row r="143" spans="1:2" ht="38.65" x14ac:dyDescent="0.4">
      <c r="B143" s="20" t="s">
        <v>203</v>
      </c>
    </row>
    <row r="144" spans="1:2" ht="25.9" x14ac:dyDescent="0.35">
      <c r="B144" s="26" t="s">
        <v>204</v>
      </c>
    </row>
    <row r="145" spans="1:5" ht="13.15" x14ac:dyDescent="0.4">
      <c r="A145" s="45"/>
      <c r="B145" s="19"/>
    </row>
    <row r="146" spans="1:5" ht="15" x14ac:dyDescent="0.4">
      <c r="A146" s="162" t="s">
        <v>216</v>
      </c>
      <c r="B146" s="162"/>
    </row>
    <row r="147" spans="1:5" ht="13.15" x14ac:dyDescent="0.4">
      <c r="B147" s="19"/>
      <c r="C147" s="45" t="s">
        <v>112</v>
      </c>
      <c r="D147" s="91" t="s">
        <v>113</v>
      </c>
    </row>
    <row r="148" spans="1:5" ht="38.65" x14ac:dyDescent="0.4">
      <c r="B148" s="44" t="s">
        <v>111</v>
      </c>
    </row>
    <row r="150" spans="1:5" x14ac:dyDescent="0.35">
      <c r="B150" s="9" t="s">
        <v>115</v>
      </c>
      <c r="C150" s="45" t="s">
        <v>114</v>
      </c>
      <c r="D150" s="91">
        <v>7</v>
      </c>
    </row>
    <row r="152" spans="1:5" ht="15" x14ac:dyDescent="0.4">
      <c r="A152" s="162" t="s">
        <v>139</v>
      </c>
      <c r="B152" s="162"/>
    </row>
    <row r="153" spans="1:5" ht="13.15" x14ac:dyDescent="0.4">
      <c r="B153" s="19"/>
    </row>
    <row r="154" spans="1:5" ht="25.5" x14ac:dyDescent="0.35">
      <c r="B154" s="44" t="s">
        <v>141</v>
      </c>
    </row>
    <row r="155" spans="1:5" x14ac:dyDescent="0.35">
      <c r="C155" s="45" t="s">
        <v>140</v>
      </c>
      <c r="D155" s="91" t="s">
        <v>251</v>
      </c>
      <c r="E155" s="92">
        <f>IF(D155="Sunday",1,2)</f>
        <v>2</v>
      </c>
    </row>
    <row r="156" spans="1:5" x14ac:dyDescent="0.35">
      <c r="B156" s="20"/>
    </row>
    <row r="157" spans="1:5" ht="15" x14ac:dyDescent="0.4">
      <c r="A157" s="162" t="s">
        <v>218</v>
      </c>
      <c r="B157" s="162"/>
    </row>
    <row r="158" spans="1:5" ht="13.15" x14ac:dyDescent="0.4">
      <c r="B158" s="19" t="s">
        <v>81</v>
      </c>
    </row>
    <row r="159" spans="1:5" ht="38.25" x14ac:dyDescent="0.35">
      <c r="B159" s="44" t="s">
        <v>82</v>
      </c>
    </row>
    <row r="160" spans="1:5" x14ac:dyDescent="0.35">
      <c r="B160" s="9" t="s">
        <v>92</v>
      </c>
    </row>
    <row r="161" spans="1:4" x14ac:dyDescent="0.35">
      <c r="B161" s="9" t="s">
        <v>122</v>
      </c>
    </row>
    <row r="163" spans="1:4" ht="15" x14ac:dyDescent="0.4">
      <c r="A163" s="162" t="s">
        <v>93</v>
      </c>
      <c r="B163" s="162"/>
    </row>
    <row r="164" spans="1:4" ht="13.15" x14ac:dyDescent="0.4">
      <c r="B164" s="47" t="s">
        <v>205</v>
      </c>
    </row>
    <row r="165" spans="1:4" ht="25.5" x14ac:dyDescent="0.35">
      <c r="B165" s="44" t="s">
        <v>99</v>
      </c>
    </row>
    <row r="166" spans="1:4" x14ac:dyDescent="0.35">
      <c r="B166" s="9" t="s">
        <v>100</v>
      </c>
    </row>
    <row r="168" spans="1:4" ht="13.15" x14ac:dyDescent="0.4">
      <c r="B168" s="47" t="s">
        <v>206</v>
      </c>
      <c r="C168" s="49"/>
      <c r="D168" s="50" t="s">
        <v>84</v>
      </c>
    </row>
    <row r="169" spans="1:4" x14ac:dyDescent="0.35">
      <c r="B169" s="9" t="s">
        <v>88</v>
      </c>
      <c r="C169" s="45" t="s">
        <v>85</v>
      </c>
      <c r="D169" s="91">
        <v>2</v>
      </c>
    </row>
    <row r="170" spans="1:4" x14ac:dyDescent="0.35">
      <c r="B170" s="9" t="s">
        <v>91</v>
      </c>
      <c r="C170" s="45" t="s">
        <v>86</v>
      </c>
      <c r="D170" s="91">
        <v>14</v>
      </c>
    </row>
    <row r="171" spans="1:4" x14ac:dyDescent="0.35">
      <c r="B171" s="9" t="s">
        <v>97</v>
      </c>
      <c r="C171" s="45" t="s">
        <v>87</v>
      </c>
      <c r="D171" s="91">
        <v>28</v>
      </c>
    </row>
    <row r="172" spans="1:4" x14ac:dyDescent="0.35">
      <c r="B172" s="9" t="s">
        <v>96</v>
      </c>
    </row>
    <row r="173" spans="1:4" x14ac:dyDescent="0.35">
      <c r="C173" s="45"/>
      <c r="D173" s="46"/>
    </row>
    <row r="174" spans="1:4" x14ac:dyDescent="0.35">
      <c r="B174" s="9" t="s">
        <v>89</v>
      </c>
    </row>
    <row r="175" spans="1:4" x14ac:dyDescent="0.35">
      <c r="B175" s="9" t="s">
        <v>95</v>
      </c>
    </row>
    <row r="177" spans="1:4" ht="25.5" x14ac:dyDescent="0.35">
      <c r="B177" s="44" t="s">
        <v>98</v>
      </c>
    </row>
    <row r="178" spans="1:4" ht="25.5" x14ac:dyDescent="0.35">
      <c r="B178" s="44" t="s">
        <v>94</v>
      </c>
    </row>
    <row r="180" spans="1:4" ht="13.15" x14ac:dyDescent="0.4">
      <c r="B180" s="47" t="s">
        <v>207</v>
      </c>
      <c r="C180" s="48" t="s">
        <v>102</v>
      </c>
      <c r="D180" s="48" t="s">
        <v>79</v>
      </c>
    </row>
    <row r="181" spans="1:4" x14ac:dyDescent="0.35">
      <c r="B181" s="9" t="s">
        <v>101</v>
      </c>
      <c r="C181" s="93" t="s">
        <v>103</v>
      </c>
      <c r="D181" s="94" t="s">
        <v>28</v>
      </c>
    </row>
    <row r="182" spans="1:4" x14ac:dyDescent="0.35">
      <c r="B182" s="9" t="s">
        <v>108</v>
      </c>
      <c r="C182" s="93" t="s">
        <v>104</v>
      </c>
      <c r="D182" s="94" t="s">
        <v>83</v>
      </c>
    </row>
    <row r="183" spans="1:4" x14ac:dyDescent="0.35">
      <c r="B183" s="9" t="s">
        <v>109</v>
      </c>
      <c r="C183" s="93" t="s">
        <v>105</v>
      </c>
      <c r="D183" s="94" t="s">
        <v>58</v>
      </c>
    </row>
    <row r="184" spans="1:4" x14ac:dyDescent="0.35">
      <c r="C184" s="93" t="s">
        <v>106</v>
      </c>
      <c r="D184" s="94" t="s">
        <v>61</v>
      </c>
    </row>
    <row r="185" spans="1:4" x14ac:dyDescent="0.35">
      <c r="B185" s="9" t="s">
        <v>107</v>
      </c>
      <c r="C185" s="95"/>
      <c r="D185" s="94" t="s">
        <v>59</v>
      </c>
    </row>
    <row r="186" spans="1:4" x14ac:dyDescent="0.35">
      <c r="B186" s="9" t="s">
        <v>208</v>
      </c>
      <c r="C186" s="95"/>
      <c r="D186" s="94" t="s">
        <v>90</v>
      </c>
    </row>
    <row r="187" spans="1:4" x14ac:dyDescent="0.35">
      <c r="B187" s="9" t="s">
        <v>110</v>
      </c>
      <c r="C187" s="95"/>
      <c r="D187" s="94" t="s">
        <v>57</v>
      </c>
    </row>
    <row r="188" spans="1:4" x14ac:dyDescent="0.35">
      <c r="C188" s="95"/>
      <c r="D188" s="94" t="s">
        <v>60</v>
      </c>
    </row>
    <row r="189" spans="1:4" x14ac:dyDescent="0.35">
      <c r="C189"/>
      <c r="D189" s="46"/>
    </row>
    <row r="190" spans="1:4" ht="15" x14ac:dyDescent="0.4">
      <c r="A190" s="162" t="s">
        <v>24</v>
      </c>
      <c r="B190" s="162"/>
    </row>
    <row r="191" spans="1:4" ht="13.15" x14ac:dyDescent="0.4">
      <c r="A191" s="6" t="s">
        <v>25</v>
      </c>
      <c r="B191" s="19" t="s">
        <v>219</v>
      </c>
    </row>
    <row r="192" spans="1:4" ht="38.25" x14ac:dyDescent="0.35">
      <c r="B192" s="42" t="s">
        <v>209</v>
      </c>
    </row>
    <row r="194" spans="1:2" ht="13.15" x14ac:dyDescent="0.4">
      <c r="A194" s="6" t="s">
        <v>25</v>
      </c>
      <c r="B194" s="19" t="s">
        <v>75</v>
      </c>
    </row>
    <row r="195" spans="1:2" ht="38.25" x14ac:dyDescent="0.35">
      <c r="B195" s="20" t="s">
        <v>73</v>
      </c>
    </row>
    <row r="196" spans="1:2" x14ac:dyDescent="0.35">
      <c r="B196" s="25" t="s">
        <v>74</v>
      </c>
    </row>
    <row r="197" spans="1:2" x14ac:dyDescent="0.35">
      <c r="B197" s="25" t="s">
        <v>138</v>
      </c>
    </row>
    <row r="198" spans="1:2" ht="38.25" x14ac:dyDescent="0.35">
      <c r="B198" s="25" t="s">
        <v>76</v>
      </c>
    </row>
    <row r="200" spans="1:2" ht="13.15" x14ac:dyDescent="0.4">
      <c r="A200" s="6" t="s">
        <v>25</v>
      </c>
      <c r="B200" s="19" t="s">
        <v>220</v>
      </c>
    </row>
    <row r="201" spans="1:2" x14ac:dyDescent="0.35">
      <c r="B201" s="18" t="s">
        <v>26</v>
      </c>
    </row>
    <row r="202" spans="1:2" x14ac:dyDescent="0.35">
      <c r="B202" s="18" t="s">
        <v>210</v>
      </c>
    </row>
    <row r="203" spans="1:2" x14ac:dyDescent="0.35">
      <c r="B203" s="18" t="s">
        <v>27</v>
      </c>
    </row>
    <row r="205" spans="1:2" ht="13.15" x14ac:dyDescent="0.4">
      <c r="A205" s="6" t="s">
        <v>25</v>
      </c>
      <c r="B205" s="19" t="s">
        <v>222</v>
      </c>
    </row>
    <row r="206" spans="1:2" ht="51.4" x14ac:dyDescent="0.35">
      <c r="B206" s="42" t="s">
        <v>223</v>
      </c>
    </row>
    <row r="208" spans="1:2" ht="13.15" x14ac:dyDescent="0.4">
      <c r="A208" s="6" t="s">
        <v>25</v>
      </c>
      <c r="B208" s="19" t="s">
        <v>224</v>
      </c>
    </row>
    <row r="209" spans="1:2" ht="25.5" x14ac:dyDescent="0.35">
      <c r="B209" s="42" t="s">
        <v>225</v>
      </c>
    </row>
    <row r="211" spans="1:2" ht="13.15" x14ac:dyDescent="0.4">
      <c r="A211" s="43" t="s">
        <v>25</v>
      </c>
      <c r="B211" s="37" t="s">
        <v>77</v>
      </c>
    </row>
    <row r="212" spans="1:2" ht="25.5" x14ac:dyDescent="0.35">
      <c r="A212" s="39"/>
      <c r="B212" s="41" t="s">
        <v>78</v>
      </c>
    </row>
    <row r="215" spans="1:2" x14ac:dyDescent="0.35">
      <c r="A215" s="55" t="s">
        <v>221</v>
      </c>
    </row>
  </sheetData>
  <mergeCells count="14">
    <mergeCell ref="A190:B190"/>
    <mergeCell ref="A4:B4"/>
    <mergeCell ref="A163:B163"/>
    <mergeCell ref="A31:B31"/>
    <mergeCell ref="A157:B157"/>
    <mergeCell ref="A146:B146"/>
    <mergeCell ref="A21:B21"/>
    <mergeCell ref="A67:B67"/>
    <mergeCell ref="A152:B152"/>
    <mergeCell ref="A16:B16"/>
    <mergeCell ref="A106:B106"/>
    <mergeCell ref="A71:B71"/>
    <mergeCell ref="A101:B101"/>
    <mergeCell ref="A116:B116"/>
  </mergeCells>
  <phoneticPr fontId="3" type="noConversion"/>
  <dataValidations disablePrompts="1" count="4">
    <dataValidation type="list" allowBlank="1" sqref="C49" xr:uid="{00000000-0002-0000-0200-000000000000}">
      <formula1>$C$52:$C$65</formula1>
    </dataValidation>
    <dataValidation type="list" allowBlank="1" showInputMessage="1" showErrorMessage="1" sqref="D147" xr:uid="{00000000-0002-0000-0200-000001000000}">
      <formula1>"on,off"</formula1>
    </dataValidation>
    <dataValidation type="list" allowBlank="1" showInputMessage="1" showErrorMessage="1" sqref="C68" xr:uid="{00000000-0002-0000-0200-000002000000}">
      <formula1>"mdy,dmy"</formula1>
    </dataValidation>
    <dataValidation type="list" allowBlank="1" showInputMessage="1" showErrorMessage="1" sqref="D155" xr:uid="{00000000-0002-0000-0200-000003000000}">
      <formula1>"Sunday,Monday"</formula1>
    </dataValidation>
  </dataValidations>
  <hyperlinks>
    <hyperlink ref="C3" r:id="rId1" location="gantt" display="https://www.vertex42.com/support.html - gantt" xr:uid="{00000000-0004-0000-0200-000000000000}"/>
    <hyperlink ref="B12" r:id="rId2" location="help" xr:uid="{00000000-0004-0000-0200-000001000000}"/>
  </hyperlinks>
  <pageMargins left="0.5" right="0.5" top="0.25" bottom="0.25" header="0.5" footer="0.5"/>
  <pageSetup orientation="portrait" r:id="rId3"/>
  <headerFooter alignWithMargins="0"/>
  <drawing r:id="rId4"/>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showGridLines="0" workbookViewId="0">
      <selection activeCell="A2" sqref="A2"/>
    </sheetView>
  </sheetViews>
  <sheetFormatPr defaultColWidth="8.796875" defaultRowHeight="12.75" x14ac:dyDescent="0.35"/>
  <cols>
    <col min="1" max="1" width="6.265625" style="9" customWidth="1"/>
    <col min="2" max="2" width="73.796875" style="9" customWidth="1"/>
  </cols>
  <sheetData>
    <row r="1" spans="1:3" ht="30" customHeight="1" x14ac:dyDescent="0.35">
      <c r="A1" s="51" t="s">
        <v>247</v>
      </c>
      <c r="B1" s="51"/>
      <c r="C1" s="28"/>
    </row>
    <row r="2" spans="1:3" ht="15" x14ac:dyDescent="0.4">
      <c r="A2" s="27"/>
      <c r="B2" s="29"/>
      <c r="C2" s="28"/>
    </row>
    <row r="3" spans="1:3" x14ac:dyDescent="0.35">
      <c r="A3" s="27"/>
      <c r="B3" s="56" t="s">
        <v>341</v>
      </c>
      <c r="C3" s="28"/>
    </row>
    <row r="4" spans="1:3" ht="13.5" x14ac:dyDescent="0.35">
      <c r="A4" s="27"/>
      <c r="B4" s="30" t="s">
        <v>64</v>
      </c>
      <c r="C4" s="28"/>
    </row>
    <row r="5" spans="1:3" ht="15" x14ac:dyDescent="0.4">
      <c r="A5" s="27"/>
      <c r="B5" s="31"/>
      <c r="C5" s="28"/>
    </row>
    <row r="6" spans="1:3" ht="15" x14ac:dyDescent="0.4">
      <c r="A6" s="27"/>
      <c r="B6" s="32" t="s">
        <v>221</v>
      </c>
      <c r="C6" s="28"/>
    </row>
    <row r="7" spans="1:3" ht="15" x14ac:dyDescent="0.4">
      <c r="A7" s="27"/>
      <c r="B7" s="31"/>
      <c r="C7" s="28"/>
    </row>
    <row r="8" spans="1:3" ht="30" x14ac:dyDescent="0.4">
      <c r="A8" s="27"/>
      <c r="B8" s="31" t="s">
        <v>65</v>
      </c>
      <c r="C8" s="28"/>
    </row>
    <row r="9" spans="1:3" ht="15" x14ac:dyDescent="0.4">
      <c r="A9" s="27"/>
      <c r="B9" s="31"/>
      <c r="C9" s="28"/>
    </row>
    <row r="10" spans="1:3" ht="30" x14ac:dyDescent="0.4">
      <c r="A10" s="27"/>
      <c r="B10" s="31" t="s">
        <v>66</v>
      </c>
      <c r="C10" s="28"/>
    </row>
    <row r="11" spans="1:3" ht="15" x14ac:dyDescent="0.4">
      <c r="A11" s="27"/>
      <c r="B11" s="31"/>
      <c r="C11" s="28"/>
    </row>
    <row r="12" spans="1:3" ht="30" x14ac:dyDescent="0.4">
      <c r="A12" s="27"/>
      <c r="B12" s="31" t="s">
        <v>67</v>
      </c>
      <c r="C12" s="28"/>
    </row>
    <row r="13" spans="1:3" ht="15" x14ac:dyDescent="0.4">
      <c r="A13" s="27"/>
      <c r="B13" s="31"/>
      <c r="C13" s="28"/>
    </row>
    <row r="14" spans="1:3" ht="15" x14ac:dyDescent="0.4">
      <c r="A14" s="27"/>
      <c r="B14" s="33" t="s">
        <v>68</v>
      </c>
      <c r="C14" s="28"/>
    </row>
    <row r="15" spans="1:3" ht="15" x14ac:dyDescent="0.4">
      <c r="A15" s="27"/>
      <c r="B15" s="31" t="s">
        <v>342</v>
      </c>
      <c r="C15" s="28"/>
    </row>
    <row r="16" spans="1:3" ht="15" x14ac:dyDescent="0.4">
      <c r="A16" s="27"/>
      <c r="B16" s="34"/>
      <c r="C16" s="28"/>
    </row>
    <row r="17" spans="1:3" ht="30" x14ac:dyDescent="0.4">
      <c r="A17" s="27"/>
      <c r="B17" s="31" t="s">
        <v>69</v>
      </c>
      <c r="C17" s="28"/>
    </row>
    <row r="18" spans="1:3" x14ac:dyDescent="0.35">
      <c r="A18" s="27"/>
      <c r="B18" s="27"/>
      <c r="C18" s="28"/>
    </row>
    <row r="19" spans="1:3" x14ac:dyDescent="0.35">
      <c r="A19" s="27"/>
      <c r="B19" s="27"/>
      <c r="C19" s="28"/>
    </row>
    <row r="20" spans="1:3" x14ac:dyDescent="0.35">
      <c r="A20" s="27"/>
      <c r="B20" s="27"/>
      <c r="C20" s="28"/>
    </row>
    <row r="21" spans="1:3" x14ac:dyDescent="0.35">
      <c r="A21" s="27"/>
      <c r="B21" s="27"/>
      <c r="C21" s="28"/>
    </row>
    <row r="22" spans="1:3" x14ac:dyDescent="0.35">
      <c r="A22" s="27"/>
      <c r="B22" s="27"/>
      <c r="C22" s="28"/>
    </row>
    <row r="23" spans="1:3" x14ac:dyDescent="0.35">
      <c r="A23" s="27"/>
      <c r="B23" s="27"/>
      <c r="C23" s="28"/>
    </row>
    <row r="24" spans="1:3" x14ac:dyDescent="0.35">
      <c r="A24" s="27"/>
      <c r="B24" s="27"/>
      <c r="C24" s="28"/>
    </row>
    <row r="25" spans="1:3" x14ac:dyDescent="0.35">
      <c r="A25" s="27"/>
      <c r="B25" s="27"/>
      <c r="C25" s="28"/>
    </row>
    <row r="26" spans="1:3" x14ac:dyDescent="0.35">
      <c r="A26" s="27"/>
      <c r="B26" s="27"/>
      <c r="C26" s="28"/>
    </row>
    <row r="27" spans="1:3" x14ac:dyDescent="0.35">
      <c r="A27" s="27"/>
      <c r="B27" s="27"/>
      <c r="C27" s="28"/>
    </row>
    <row r="28" spans="1:3" x14ac:dyDescent="0.35">
      <c r="A28" s="27"/>
      <c r="B28" s="27"/>
      <c r="C28" s="28"/>
    </row>
    <row r="29" spans="1:3" x14ac:dyDescent="0.35">
      <c r="A29" s="27"/>
      <c r="B29" s="27"/>
      <c r="C29" s="28"/>
    </row>
  </sheetData>
  <hyperlinks>
    <hyperlink ref="B14" r:id="rId1" display="http://www.vertex42.com/licensing/EULA_privateuse.html" xr:uid="{00000000-0004-0000-0300-000000000000}"/>
    <hyperlink ref="B3" r:id="rId2" xr:uid="{00000000-0004-0000-0300-000001000000}"/>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GanttChart</vt:lpstr>
      <vt:lpstr>Holidays</vt:lpstr>
      <vt:lpstr>Help</vt:lpstr>
      <vt:lpstr>TermsOfUse</vt:lpstr>
      <vt:lpstr>dateformat</vt:lpstr>
      <vt:lpstr>enddate_highlight</vt:lpstr>
      <vt:lpstr>enddate_highlight_days</vt:lpstr>
      <vt:lpstr>holidays</vt:lpstr>
      <vt:lpstr>lead_color</vt:lpstr>
      <vt:lpstr>lead_names</vt:lpstr>
      <vt:lpstr>GanttChart!Print_Area</vt:lpstr>
      <vt:lpstr>GanttChart!Print_Titles</vt:lpstr>
      <vt:lpstr>startday</vt:lpstr>
      <vt:lpstr>urgency_days</vt:lpstr>
      <vt:lpstr>weekend</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2006-2016 Vertex42 LLC. All Rights Reserved.</dc:description>
  <cp:lastModifiedBy>ALBERT h</cp:lastModifiedBy>
  <cp:lastPrinted>2016-06-16T14:32:19Z</cp:lastPrinted>
  <dcterms:created xsi:type="dcterms:W3CDTF">2010-06-09T16:05:03Z</dcterms:created>
  <dcterms:modified xsi:type="dcterms:W3CDTF">2026-05-21T16:04:15Z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2016 Vertex42 LLC</vt:lpwstr>
  </property>
  <property fmtid="{D5CDD505-2E9C-101B-9397-08002B2CF9AE}" pid="3" name="Version">
    <vt:lpwstr>4.0.0</vt:lpwstr>
  </property>
</Properties>
</file>